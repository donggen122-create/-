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UMEN_기획서\game\src\docs\밸런스\"/>
    </mc:Choice>
  </mc:AlternateContent>
  <xr:revisionPtr revIDLastSave="0" documentId="8_{A64A5925-0021-429B-88AA-E9964FA671E8}" xr6:coauthVersionLast="47" xr6:coauthVersionMax="47" xr10:uidLastSave="{00000000-0000-0000-0000-000000000000}"/>
  <bookViews>
    <workbookView xWindow="-120" yWindow="-120" windowWidth="29040" windowHeight="15720" xr2:uid="{923DB459-3181-43AE-A32C-9FD0CC41C669}"/>
  </bookViews>
  <sheets>
    <sheet name="읽는 법" sheetId="1" r:id="rId1"/>
    <sheet name="등급과 보급" sheetId="2" r:id="rId2"/>
    <sheet name="친구(펫)" sheetId="3" r:id="rId3"/>
    <sheet name="장비" sheetId="4" r:id="rId4"/>
    <sheet name="능력치(훈련)" sheetId="5" r:id="rId5"/>
    <sheet name="코인 벌기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" i="6" l="1"/>
  <c r="B35" i="6"/>
  <c r="B34" i="6"/>
  <c r="G26" i="6"/>
  <c r="F26" i="6"/>
  <c r="E26" i="6"/>
  <c r="D26" i="6"/>
  <c r="G25" i="6"/>
  <c r="F25" i="6"/>
  <c r="E25" i="6"/>
  <c r="D25" i="6"/>
  <c r="G24" i="6"/>
  <c r="F24" i="6"/>
  <c r="E24" i="6"/>
  <c r="D24" i="6"/>
  <c r="G23" i="6"/>
  <c r="F23" i="6"/>
  <c r="E23" i="6"/>
  <c r="D23" i="6"/>
  <c r="G22" i="6"/>
  <c r="F22" i="6"/>
  <c r="E22" i="6"/>
  <c r="D22" i="6"/>
  <c r="G21" i="6"/>
  <c r="F21" i="6"/>
  <c r="E21" i="6"/>
  <c r="D21" i="6"/>
  <c r="G20" i="6"/>
  <c r="F20" i="6"/>
  <c r="E20" i="6"/>
  <c r="D20" i="6"/>
  <c r="G19" i="6"/>
  <c r="F19" i="6"/>
  <c r="E19" i="6"/>
  <c r="D19" i="6"/>
  <c r="G18" i="6"/>
  <c r="F18" i="6"/>
  <c r="E18" i="6"/>
  <c r="D18" i="6"/>
  <c r="G17" i="6"/>
  <c r="F17" i="6"/>
  <c r="E17" i="6"/>
  <c r="D17" i="6"/>
  <c r="G115" i="5"/>
  <c r="F115" i="5"/>
  <c r="E115" i="5"/>
  <c r="D115" i="5"/>
  <c r="G11" i="5" s="1"/>
  <c r="C115" i="5"/>
  <c r="F11" i="5" s="1"/>
  <c r="B115" i="5"/>
  <c r="E11" i="5" s="1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I10" i="5" s="1"/>
  <c r="F75" i="5"/>
  <c r="H10" i="5" s="1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G8" i="5" s="1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E16" i="5"/>
  <c r="D16" i="5"/>
  <c r="C16" i="5"/>
  <c r="B16" i="5"/>
  <c r="I11" i="5"/>
  <c r="H11" i="5"/>
  <c r="G10" i="5"/>
  <c r="F10" i="5"/>
  <c r="E10" i="5"/>
  <c r="I9" i="5"/>
  <c r="H9" i="5"/>
  <c r="G9" i="5"/>
  <c r="F9" i="5"/>
  <c r="E9" i="5"/>
  <c r="I8" i="5"/>
  <c r="H8" i="5"/>
  <c r="F8" i="5"/>
  <c r="E8" i="5"/>
  <c r="I7" i="5"/>
  <c r="H7" i="5"/>
  <c r="G7" i="5"/>
  <c r="F7" i="5"/>
  <c r="E7" i="5"/>
  <c r="I6" i="5"/>
  <c r="H6" i="5"/>
  <c r="G6" i="5"/>
  <c r="F6" i="5"/>
  <c r="E6" i="5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J15" i="3"/>
  <c r="I15" i="3"/>
  <c r="H15" i="3"/>
  <c r="G15" i="3"/>
  <c r="F15" i="3"/>
  <c r="J14" i="3"/>
  <c r="I14" i="3"/>
  <c r="H14" i="3"/>
  <c r="G14" i="3"/>
  <c r="F14" i="3"/>
  <c r="J13" i="3"/>
  <c r="I13" i="3"/>
  <c r="H13" i="3"/>
  <c r="G13" i="3"/>
  <c r="F13" i="3"/>
  <c r="J12" i="3"/>
  <c r="I12" i="3"/>
  <c r="H12" i="3"/>
  <c r="G12" i="3"/>
  <c r="F12" i="3"/>
  <c r="J11" i="3"/>
  <c r="I11" i="3"/>
  <c r="H11" i="3"/>
  <c r="G11" i="3"/>
  <c r="F11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J7" i="3"/>
  <c r="I7" i="3"/>
  <c r="H7" i="3"/>
  <c r="G7" i="3"/>
  <c r="F7" i="3"/>
  <c r="J6" i="3"/>
  <c r="I6" i="3"/>
  <c r="H6" i="3"/>
  <c r="G6" i="3"/>
  <c r="F6" i="3"/>
  <c r="F26" i="2"/>
  <c r="E26" i="2"/>
  <c r="D26" i="2"/>
  <c r="C26" i="2"/>
  <c r="F25" i="2"/>
  <c r="E25" i="2"/>
  <c r="D25" i="2"/>
  <c r="C25" i="2"/>
  <c r="F24" i="2"/>
  <c r="E24" i="2"/>
  <c r="D24" i="2"/>
  <c r="C24" i="2"/>
  <c r="B19" i="2"/>
  <c r="B18" i="2"/>
</calcChain>
</file>

<file path=xl/sharedStrings.xml><?xml version="1.0" encoding="utf-8"?>
<sst xmlns="http://schemas.openxmlformats.org/spreadsheetml/2006/main" count="402" uniqueCount="317">
  <si>
    <t>서호팡팡수호대 밸런스 회의 자료</t>
  </si>
  <si>
    <t>2026-09-28 실서버 게임의 실제 숫자예요. 게임 코드에서 그대로 옮겼어요.</t>
  </si>
  <si>
    <t>시트</t>
  </si>
  <si>
    <t>무엇이 있나요</t>
  </si>
  <si>
    <t>등급과 보급</t>
  </si>
  <si>
    <t>노말~전설 등급마다 필요한 개수, 보급 1번에 나오는 개수와 확률, 원하는 것을 모으려면 보급을 몇 번 해야 하는지, 보급권 얻는 법</t>
  </si>
  <si>
    <t>친구(펫)</t>
  </si>
  <si>
    <t>동물 친구 4마리의 능력(등급별 숫자)과 유니크부터 생기는 특수 능력</t>
  </si>
  <si>
    <t>장비</t>
  </si>
  <si>
    <t>6칸 장비의 능력(등급별 숫자), 특수 효과, 같은 세트를 모으면 생기는 세트 효과</t>
  </si>
  <si>
    <t>능력치(훈련)</t>
  </si>
  <si>
    <t>공격력·체력·이동 속도 훈련 1~100단계의 효과와 코인 비용</t>
  </si>
  <si>
    <t>코인 벌기</t>
  </si>
  <si>
    <t>단계와 난이도마다 성공 1번에 받는 코인, 훈련까지 며칠 걸리는지 계산기</t>
  </si>
  <si>
    <t>색과 글씨</t>
  </si>
  <si>
    <t>노말</t>
  </si>
  <si>
    <t>가장 낮은 등급</t>
  </si>
  <si>
    <t>레어</t>
  </si>
  <si>
    <t>두 번째 등급</t>
  </si>
  <si>
    <t>유니크</t>
  </si>
  <si>
    <t>세 번째 등급 · 특수 능력이 생겨요</t>
  </si>
  <si>
    <t>에픽</t>
  </si>
  <si>
    <t>네 번째 등급 · 특수 능력이 강해져요</t>
  </si>
  <si>
    <t>전설</t>
  </si>
  <si>
    <t>가장 높은 등급 · 특수 능력이 하나 더 생겨요</t>
  </si>
  <si>
    <t>파란 글씨 칸</t>
  </si>
  <si>
    <t>회의에서 바꿔 볼 수 있는 숫자예요. 바꾸면 옆의 계산이 따라 바뀌어요. 여기서 바꿔도 실제 게임은 바뀌지 않아요.</t>
  </si>
  <si>
    <t>검은 글씨 칸</t>
  </si>
  <si>
    <t>파란 글씨 숫자로 계산된 결과예요.</t>
  </si>
  <si>
    <t>회의에서 이야기해 볼 것</t>
  </si>
  <si>
    <t>①</t>
  </si>
  <si>
    <t>친구 4마리 중 누구와 함께 출동하고 싶나요? 그 친구가 너무 세거나 약하지 않나요?</t>
  </si>
  <si>
    <t>②</t>
  </si>
  <si>
    <t>장비 하나를 레어(같은 장비 20개)로 만들려면 보급을 몇 번 해야 하나요? 알맞은가요, 너무 먼가요?</t>
  </si>
  <si>
    <t>③</t>
  </si>
  <si>
    <t>보급 1번에 1개가 80%, 3개가 18%, 7개가 2%로 나와요. 이 운이 재미있나요, 억울한가요?</t>
  </si>
  <si>
    <t>④</t>
  </si>
  <si>
    <t>훈련 비용과 효과는 알맞나요? 어려움에 도전하려면 공격·체력 15단계(1장), 20단계(2장)가 필요해요.</t>
  </si>
  <si>
    <t>⑤</t>
  </si>
  <si>
    <t>하루에 받는 코인과 보급권은 충분한가요?</t>
  </si>
  <si>
    <t>등급과 보급 — 같은 것을 모으면 강해져요</t>
  </si>
  <si>
    <t>파란 글씨 칸은 바꿔 볼 수 있어요(게임은 바뀌지 않아요). 다른 시트의 등급별 숫자가 이 표를 따라 바뀌어요.</t>
  </si>
  <si>
    <t>① 등급마다 필요한 개수와 힘</t>
  </si>
  <si>
    <t>등급</t>
  </si>
  <si>
    <t>장비·친구 카드 개수</t>
  </si>
  <si>
    <t>파츠 개수</t>
  </si>
  <si>
    <t>장비·친구 힘 (전설 대비)</t>
  </si>
  <si>
    <t>파츠 스킬 피해 보너스</t>
  </si>
  <si>
    <t>파츠 스킬 발동 간격</t>
  </si>
  <si>
    <t>장비는 개수가 모이면 "합성" 버튼으로 등급을 올려요. 친구와 파츠는 개수가 모이면 저절로 올라가요. 발동 간격 75% = 스킬이 더 자주 나가요.</t>
  </si>
  <si>
    <t>② 보급 1번에 나오는 개수 (파츠·장비·친구 모두 같아요)</t>
  </si>
  <si>
    <t>나오는 개수</t>
  </si>
  <si>
    <t>확률</t>
  </si>
  <si>
    <t>확률 합계 (100%여야 해요)</t>
  </si>
  <si>
    <t>보급 1번에 평균 몇 개?</t>
  </si>
  <si>
    <t>무엇이 나올지는 아직 전설이 아닌 것 중에서 똑같은 확률로 골라요. "5번 보급"은 보급권 5장으로 5번을 한꺼번에 여는 것이고 확률은 같아요.</t>
  </si>
  <si>
    <t>③ 원하는 것 하나를 그 등급까지 모으려면 보급 몇 번? (평균, 대략)</t>
  </si>
  <si>
    <t>종류</t>
  </si>
  <si>
    <t>가짓수</t>
  </si>
  <si>
    <t>장비 (내 캐릭터 장비 중 1개)</t>
  </si>
  <si>
    <t>친구 (4마리 중 1마리)</t>
  </si>
  <si>
    <t>파츠 (10종 중 1개)</t>
  </si>
  <si>
    <t>예) 장비 하나를 레어(같은 장비 20개)로 만들려면 평균 약 160번. 보급할 때마다 다른 장비도 함께 모이니 장비 전체로는 더 빨리 강해져요. 전설이 된 것은 더 나오지 않아서 실제로는 조금 빨라요.</t>
  </si>
  <si>
    <t>④ 보급권 얻는 법</t>
  </si>
  <si>
    <t>방법</t>
  </si>
  <si>
    <t>보급권</t>
  </si>
  <si>
    <t>한도</t>
  </si>
  <si>
    <t>설명</t>
  </si>
  <si>
    <t>쉬움·보통 성공</t>
  </si>
  <si>
    <t>1장</t>
  </si>
  <si>
    <t>같은 단계는 하루 2번까지</t>
  </si>
  <si>
    <t>여러 단계를 돌면 더 받아요</t>
  </si>
  <si>
    <t>어려움 성공</t>
  </si>
  <si>
    <t>2장</t>
  </si>
  <si>
    <t>대왕 단계(1-5·2-5) 처음 성공</t>
  </si>
  <si>
    <t>+1장</t>
  </si>
  <si>
    <t>처음 한 번</t>
  </si>
  <si>
    <t>150초 넘게 버티고 실패 2번</t>
  </si>
  <si>
    <t>하루 1장</t>
  </si>
  <si>
    <t>잘 못 깨도 조금씩 받아요</t>
  </si>
  <si>
    <t>일일 미션 5개</t>
  </si>
  <si>
    <t>2장씩 (모두 10장)</t>
  </si>
  <si>
    <t>하루 10장</t>
  </si>
  <si>
    <t>도전 1번 성공하기 · 환경 목표 1번 해내기 · 훈련·파츠 레벨 1번 올리기 · 도전 3번 성공하기 · 도전 5번 성공하기</t>
  </si>
  <si>
    <t>코인으로 바꾸기</t>
  </si>
  <si>
    <t>하루 3번</t>
  </si>
  <si>
    <t>코인 300 → 450 → 600개 (바꿀수록 비싸져요)</t>
  </si>
  <si>
    <t>처음 선물: 캐릭터를 고르면 무기 2개 · 1-1 처음 성공 파츠 1개 고르기 · 1-3 처음 성공 친구 카드 1장 고르기 · 1-5 처음 성공 친구 카드 3장 고르기</t>
  </si>
  <si>
    <t>이용권: 매일 아침 8시에 10장. 성공하면 1장을 쓰고, 실패하면 쓰지 않아요 → 하루 10번까지 성공할 수 있어요.</t>
  </si>
  <si>
    <t>동물 친구 4마리 — 함께 출동한 친구 1마리의 힘</t>
  </si>
  <si>
    <t>전설(최대) 파란 글씨를 바꾸면 등급별 숫자가 따라 바뀌어요. 등급별 힘 비율은 "등급과 보급" 시트 ①의 장비·친구 힘.</t>
  </si>
  <si>
    <t>① 친구 능력 (등급별)</t>
  </si>
  <si>
    <t>번호</t>
  </si>
  <si>
    <t>친구</t>
  </si>
  <si>
    <t>역할</t>
  </si>
  <si>
    <t>능력</t>
  </si>
  <si>
    <t>전설(최대)</t>
  </si>
  <si>
    <t>꼬북이</t>
  </si>
  <si>
    <t>생존</t>
  </si>
  <si>
    <t>받는 피해</t>
  </si>
  <si>
    <t>최대 체력</t>
  </si>
  <si>
    <t>1초마다 체력 회복</t>
  </si>
  <si>
    <t>야옹이</t>
  </si>
  <si>
    <t>이동·공격 속도</t>
  </si>
  <si>
    <t>이동 속도</t>
  </si>
  <si>
    <t>공격 속도</t>
  </si>
  <si>
    <t>수달이</t>
  </si>
  <si>
    <t>공격력·범위</t>
  </si>
  <si>
    <t>모든 스킬 피해</t>
  </si>
  <si>
    <t>스킬 범위</t>
  </si>
  <si>
    <t>아기사슴</t>
  </si>
  <si>
    <t>새싹 경험치·코인</t>
  </si>
  <si>
    <t>새싹 경험치</t>
  </si>
  <si>
    <t>새싹 줍기 범위</t>
  </si>
  <si>
    <t>코인 획득</t>
  </si>
  <si>
    <t>받는 피해 -30% = 적에게 맞을 때 덜 아파요. 공격 속도 +50% = 1초에 공격을 1.5배 해요(공격 간격 약 33% 짧아짐). 코인 획득은 성공 보상 코인에 더해져요.</t>
  </si>
  <si>
    <t>② 특수 능력 (유니크부터 생겨요)</t>
  </si>
  <si>
    <t>특수 능력</t>
  </si>
  <si>
    <t>전설 (에픽 + 추가)</t>
  </si>
  <si>
    <t>등껍질 방패</t>
  </si>
  <si>
    <t>15초마다 보호막(최대 체력 10%)</t>
  </si>
  <si>
    <t>10초마다 · 보호막 15%</t>
  </si>
  <si>
    <t>판마다 1번 쓰러져도 일어남</t>
  </si>
  <si>
    <t>바람 질주</t>
  </si>
  <si>
    <t>10초마다 3초 동안 공격 속도 +25%</t>
  </si>
  <si>
    <t>7초마다(더 자주)</t>
  </si>
  <si>
    <t>그 3초 동안 이동 속도도 +30%</t>
  </si>
  <si>
    <t>물방울 폭탄</t>
  </si>
  <si>
    <t>5초마다 적이 많은 곳에 물방울 폭탄(주변 적 모두 피해)</t>
  </si>
  <si>
    <t>3.5초마다 · 폭탄 피해 1.5배</t>
  </si>
  <si>
    <t>물방울 폭탄 3개를 한꺼번에</t>
  </si>
  <si>
    <t>새싹 자석</t>
  </si>
  <si>
    <t>20초마다 화면의 새싹을 모두 끌어오기</t>
  </si>
  <si>
    <t>12초마다(더 자주)</t>
  </si>
  <si>
    <t>끌어온 새싹 경험치 +50%</t>
  </si>
  <si>
    <t>③ 친구 만나는 법</t>
  </si>
  <si>
    <t>• 1-3 처음 성공: 4마리 중 1마리 골라 카드 1장 · 1-5 처음 성공: 1마리 골라 카드 3장</t>
  </si>
  <si>
    <t>• 친구 보급(보급권 1장): 아직 전설이 아닌 친구 중 무작위 1마리 카드, 1·3·7장 (확률은 "등급과 보급" ②)</t>
  </si>
  <si>
    <t>• 같은 친구 카드를 모으면 등급이 저절로 올라가요: 노말 1장 · 레어 20장 · 유니크 40장 · 에픽 80장 · 전설 120장</t>
  </si>
  <si>
    <t>• 출동할 때 친구는 1마리만 함께 가요.</t>
  </si>
  <si>
    <t>장비 — 6칸, 원거리·근거리 세트</t>
  </si>
  <si>
    <t>호야와 민지의 같은 역할 장비는 이름·그림만 다르고 능력이 똑같아요. 전설(최대) 파란 글씨를 바꾸면 등급별 숫자가 따라 바뀌어요.</t>
  </si>
  <si>
    <t>① 장비 능력 (등급별)</t>
  </si>
  <si>
    <t>세트</t>
  </si>
  <si>
    <t>칸</t>
  </si>
  <si>
    <t>호야 장비</t>
  </si>
  <si>
    <t>민지 장비</t>
  </si>
  <si>
    <t>원거리</t>
  </si>
  <si>
    <t>투구</t>
  </si>
  <si>
    <t>야구 헬멧</t>
  </si>
  <si>
    <t>피구 머리띠</t>
  </si>
  <si>
    <t>치명타 확률</t>
  </si>
  <si>
    <t>갑옷</t>
  </si>
  <si>
    <t>야구 유니폼</t>
  </si>
  <si>
    <t>피구 체육복</t>
  </si>
  <si>
    <t>신발</t>
  </si>
  <si>
    <t>야구 스파이크</t>
  </si>
  <si>
    <t>피구 운동화</t>
  </si>
  <si>
    <t>장갑</t>
  </si>
  <si>
    <t>야구 글러브</t>
  </si>
  <si>
    <t>손목 보호대</t>
  </si>
  <si>
    <t>목걸이</t>
  </si>
  <si>
    <t>우승 메달 목걸이</t>
  </si>
  <si>
    <t>호루라기 목걸이</t>
  </si>
  <si>
    <t>모든 피해</t>
  </si>
  <si>
    <t>무기</t>
  </si>
  <si>
    <t>강속구 야구 배트</t>
  </si>
  <si>
    <t>번개 피구공</t>
  </si>
  <si>
    <t>기본 무기 피해</t>
  </si>
  <si>
    <t>기본 무기 사거리</t>
  </si>
  <si>
    <t>근거리</t>
  </si>
  <si>
    <t>학생 모자</t>
  </si>
  <si>
    <t>리본 머리핀</t>
  </si>
  <si>
    <t>교복 재킷</t>
  </si>
  <si>
    <t>교복 조끼</t>
  </si>
  <si>
    <t>실내화</t>
  </si>
  <si>
    <t>교복 구두</t>
  </si>
  <si>
    <t>목장갑</t>
  </si>
  <si>
    <t>손목 밴드</t>
  </si>
  <si>
    <t>명찰 목걸이</t>
  </si>
  <si>
    <t>하트 명찰 목걸이</t>
  </si>
  <si>
    <t>목검</t>
  </si>
  <si>
    <t>왕 연필</t>
  </si>
  <si>
    <t>휘두르기 범위</t>
  </si>
  <si>
    <t>원거리 세트: 호야 야구복 · 민지 피구복 / 근거리 세트: 호야·민지 교복. 받는 피해 -30% = 덜 아파요. 공격 속도 +50% = 1초에 공격 1.5배.</t>
  </si>
  <si>
    <t>② 특수 효과 (유니크부터)</t>
  </si>
  <si>
    <t>이름</t>
  </si>
  <si>
    <t>집중</t>
  </si>
  <si>
    <t>5초 동안 안 맞으면 다음 공격 치명타 확정</t>
  </si>
  <si>
    <t>3초만 안 맞아도 됨</t>
  </si>
  <si>
    <t>확정 치명타 피해 +50%</t>
  </si>
  <si>
    <t>든든</t>
  </si>
  <si>
    <t>체력 30% 아래로 떨어지면 3초 동안 받는 피해 -50%(30초에 1번)</t>
  </si>
  <si>
    <t>20초에 1번(더 자주)</t>
  </si>
  <si>
    <t>그때 체력 10% 회복</t>
  </si>
  <si>
    <t>도루</t>
  </si>
  <si>
    <t>8초마다 1초 동안 이동 속도 +40%</t>
  </si>
  <si>
    <t>5초마다(더 자주)</t>
  </si>
  <si>
    <t>그 1초 동안 적과 부딪히지 않음</t>
  </si>
  <si>
    <t>캐치</t>
  </si>
  <si>
    <t>날아오는 적 탄 8초에 1개 잡기(대왕 탄 제외)</t>
  </si>
  <si>
    <t>5초에 1개(더 자주)</t>
  </si>
  <si>
    <t>잡은 탄을 되던져 적에게 피해</t>
  </si>
  <si>
    <t>응원</t>
  </si>
  <si>
    <t>대왕에게 주는 피해 +15%</t>
  </si>
  <si>
    <t>대왕에게 주는 피해 +25%로 강해짐</t>
  </si>
  <si>
    <t>대왕 공격으로 받는 피해 -20%</t>
  </si>
  <si>
    <t>강속구</t>
  </si>
  <si>
    <t>5번째 공마다 강속구(피해 2배, 뚫고 감)</t>
  </si>
  <si>
    <t>4번째 공마다(더 자주)</t>
  </si>
  <si>
    <t>3번째 공마다 + 맞은 자리 작은 폭발</t>
  </si>
  <si>
    <t>침착</t>
  </si>
  <si>
    <t>10초마다 다음 피해 1번 막기</t>
  </si>
  <si>
    <t>막을 때 주변 적 밀쳐내기</t>
  </si>
  <si>
    <t>버티기</t>
  </si>
  <si>
    <t>체력 30% 아래에서 받는 피해 -30%</t>
  </si>
  <si>
    <t>받는 피해 -40%로 강해짐</t>
  </si>
  <si>
    <t>판마다 1번 쓰러져도 체력 절반으로 일어남</t>
  </si>
  <si>
    <t>굳건</t>
  </si>
  <si>
    <t>적에게 부딪혀 받는 피해 -15%</t>
  </si>
  <si>
    <t>부딪혀 받는 피해 -25%로 강해짐</t>
  </si>
  <si>
    <t>부딪힌 적을 1초 느리게</t>
  </si>
  <si>
    <t>흡수</t>
  </si>
  <si>
    <t>기본 무기로 적을 쓰러뜨리면 체력 0.5% 회복</t>
  </si>
  <si>
    <t>회복 1%로 강해짐</t>
  </si>
  <si>
    <t>10% 확률로 2배 회복</t>
  </si>
  <si>
    <t>반사</t>
  </si>
  <si>
    <t>부딪힌 적에게 받은 피해의 30% 되돌려 줌</t>
  </si>
  <si>
    <t>되돌려 주는 피해 50%로 강해짐</t>
  </si>
  <si>
    <t>되돌려 주는 피해 80% + 반사로 적 0.5초 멈춤</t>
  </si>
  <si>
    <t>회전 베기</t>
  </si>
  <si>
    <t>6번째 휘두르기마다 한 바퀴 베기(주변 전체)</t>
  </si>
  <si>
    <t>5번째 휘두르기마다(더 자주)</t>
  </si>
  <si>
    <t>4번째마다 + 범위 +30%</t>
  </si>
  <si>
    <t>③ 세트 효과 (같은 세트를 여러 칸 끼우면, 등급과 상관없이)</t>
  </si>
  <si>
    <t>2개</t>
  </si>
  <si>
    <t>4개</t>
  </si>
  <si>
    <t>6개</t>
  </si>
  <si>
    <t>원거리 세트</t>
  </si>
  <si>
    <t>기본 무기 사거리 +15% · 이동 속도 +5%</t>
  </si>
  <si>
    <t>모든 피해 +10% · 치명타 피해 +20%</t>
  </si>
  <si>
    <t>기본 무기 공이 적 1명 더 뚫고 감 · 스킬이 적을 찾는 거리 +15%</t>
  </si>
  <si>
    <t>근거리 세트</t>
  </si>
  <si>
    <t>최대 체력 +15%</t>
  </si>
  <si>
    <t>받는 피해 -10% · 부딪혀 잃는 체력 상한 -15%</t>
  </si>
  <si>
    <t>12초마다 보호막(최대 체력 12%) · 휘두르기가 적 탄을 없앰</t>
  </si>
  <si>
    <t>④ 장비 얻는 법</t>
  </si>
  <si>
    <t>• 캐릭터(호야·민지)를 고르면 원거리·근거리 무기 1개씩 무료. 캐릭터는 한 번 고르면 바꿀 수 없어요(선생님만 바꿀 수 있음).</t>
  </si>
  <si>
    <t>• 장비 보급(보급권 1장): 내 캐릭터 장비 12종 중 아직 전설이 아닌 것 하나가 무작위로 1·3·7개.</t>
  </si>
  <si>
    <t>• 같은 장비를 모으면 "합성"으로 등급을 올려요: 노말 1개 · 레어 20개 · 유니크 40개 · 에픽 80개 · 전설 120개 (모은 개수는 그대로 쌓여요).</t>
  </si>
  <si>
    <t>• 무기 칸에 원거리 무기를 끼우면 원거리로, 근거리 무기를 끼우면 근거리로 싸워요.</t>
  </si>
  <si>
    <t>기본 능력치(훈련) — 코인으로 한 단계씩, 최대 100단계</t>
  </si>
  <si>
    <t>공격력·체력·이동 속도를 따로 올려요. 파란 글씨를 바꾸면 아래 표가 모두 따라 바뀌어요.</t>
  </si>
  <si>
    <t>규칙 (바꿔 볼 수 있어요)</t>
  </si>
  <si>
    <t>공격력·체력 1단계당 +</t>
  </si>
  <si>
    <t>이동 속도 1단계당 + (31단계까지)</t>
  </si>
  <si>
    <t>이동 속도 1단계당 + (31단계 뒤)</t>
  </si>
  <si>
    <t>1→2단계 비용 (코인)</t>
  </si>
  <si>
    <t>단계마다 늘어나는 비용 (코인)</t>
  </si>
  <si>
    <t>최대 단계</t>
  </si>
  <si>
    <t>주요 단계 한눈에</t>
  </si>
  <si>
    <t>단계</t>
  </si>
  <si>
    <t>공격력</t>
  </si>
  <si>
    <t>체력</t>
  </si>
  <si>
    <t>한 능력치 코인</t>
  </si>
  <si>
    <t>세 능력치 모두</t>
  </si>
  <si>
    <t>어려움 도전 최소: 1장 공격·체력 15단계 · 2장 20단계(노랑). 어려움 권장: 공격·체력 40 · 이동 속도 20(주황).</t>
  </si>
  <si>
    <t>다음 단계 비용</t>
  </si>
  <si>
    <t>이 단계까지 쓴 코인(한 능력치)</t>
  </si>
  <si>
    <t>세 능력치 모두 이 단계</t>
  </si>
  <si>
    <t>코인 벌기 — 성공 1번에 받는 코인</t>
  </si>
  <si>
    <t>이미 성공한 단계를 다시 성공하고 환경 목표(쓰레기 줍기·밸브 잠그기)도 해낸 경우예요. 파란 글씨를 바꿔 볼 수 있어요.</t>
  </si>
  <si>
    <t>규칙</t>
  </si>
  <si>
    <t>기본 코인 (1-1)</t>
  </si>
  <si>
    <t>단계마다 더해지는 코인</t>
  </si>
  <si>
    <t>환경 목표를 해내면 +</t>
  </si>
  <si>
    <t>대왕 단계(1-5·2-5) 성공 +</t>
  </si>
  <si>
    <t>처음 성공하면 한 번 더 +</t>
  </si>
  <si>
    <t>쉬움 배율</t>
  </si>
  <si>
    <t>보통 배율</t>
  </si>
  <si>
    <t>어려움 배율</t>
  </si>
  <si>
    <t>아기사슴 전설: 코인 +</t>
  </si>
  <si>
    <t>단계별 코인 (다시 성공 + 환경 목표)</t>
  </si>
  <si>
    <t>쉬움</t>
  </si>
  <si>
    <t>보통</t>
  </si>
  <si>
    <t>어려움</t>
  </si>
  <si>
    <t>처음 성공(보통)</t>
  </si>
  <si>
    <t>1-1</t>
  </si>
  <si>
    <t>과자봉지 골목</t>
  </si>
  <si>
    <t>1-2</t>
  </si>
  <si>
    <t>분리수거 놀이터</t>
  </si>
  <si>
    <t>1-3</t>
  </si>
  <si>
    <t>바람 부는 공원</t>
  </si>
  <si>
    <t>1-4</t>
  </si>
  <si>
    <t>다시 피는 꽃길</t>
  </si>
  <si>
    <t>1-5</t>
  </si>
  <si>
    <t>쓰레기 대장 구출</t>
  </si>
  <si>
    <t>2-1</t>
  </si>
  <si>
    <t>매캐한 공단 입구</t>
  </si>
  <si>
    <t>2-2</t>
  </si>
  <si>
    <t>굴뚝 골목</t>
  </si>
  <si>
    <t>2-3</t>
  </si>
  <si>
    <t>가스 탱크 공장</t>
  </si>
  <si>
    <t>2-4</t>
  </si>
  <si>
    <t>매연 도로</t>
  </si>
  <si>
    <t>2-5</t>
  </si>
  <si>
    <t>굴뚝 대왕의 공장</t>
  </si>
  <si>
    <t>1-1·1-2는 처음 성공 전에는 기본 코인이 60%예요. 실패하면 버틴 시간만큼 조금 받아요(최대 기본 코인의 60%). 아기사슴과 함께 가면 코인이 더 늘어요.</t>
  </si>
  <si>
    <t>계산기: 훈련까지 며칠 걸릴까?</t>
  </si>
  <si>
    <t>하루에 성공하는 횟수</t>
  </si>
  <si>
    <t>도는 단계 번호 (1~10)</t>
  </si>
  <si>
    <t>난이도 (1 쉬움 · 2 보통 · 3 어려움)</t>
  </si>
  <si>
    <t>목표 훈련 단계</t>
  </si>
  <si>
    <t>하루에 받는 코인</t>
  </si>
  <si>
    <t>한 능력치를 목표까지 걸리는 날</t>
  </si>
  <si>
    <t>세 능력치 모두 목표까지 걸리는 날</t>
  </si>
  <si>
    <t>코인은 파츠 레벨 올리기·보급권 바꾸기에도 써요. 이 계산은 코인을 훈련에만 쓴다고 본 거예요.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</si>
</sst>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&quot;개&quot;"/>
    <numFmt numFmtId="177" formatCode="\+0%;\-0%;0%"/>
    <numFmt numFmtId="178" formatCode="0&quot;개&quot;"/>
    <numFmt numFmtId="179" formatCode="0.00&quot;개&quot;"/>
    <numFmt numFmtId="180" formatCode="0&quot;가지&quot;"/>
    <numFmt numFmtId="181" formatCode="#,##0&quot;번&quot;"/>
    <numFmt numFmtId="182" formatCode="0.0%"/>
    <numFmt numFmtId="183" formatCode="\+0.0%;\-0.0%;0.0%"/>
    <numFmt numFmtId="184" formatCode="0&quot;단계&quot;"/>
    <numFmt numFmtId="185" formatCode="0.0&quot;배&quot;"/>
    <numFmt numFmtId="186" formatCode="0&quot;번&quot;"/>
    <numFmt numFmtId="187" formatCode="0&quot;일&quot;"/>
  </numFmts>
  <fonts count="9" x14ac:knownFonts="1">
    <font>
      <sz val="10"/>
      <color theme="1"/>
      <name val="맑은 고딕"/>
      <family val="2"/>
      <charset val="129"/>
      <scheme val="minor"/>
    </font>
    <font>
      <b/>
      <sz val="16"/>
      <color rgb="FF1F3864"/>
      <name val="맑은 고딕"/>
      <family val="3"/>
      <charset val="129"/>
      <scheme val="minor"/>
    </font>
    <font>
      <i/>
      <sz val="9"/>
      <color rgb="FF59595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2"/>
      <color rgb="FF2F5597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b/>
      <sz val="10"/>
      <color rgb="FF1F1F1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FFF59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76" fontId="6" fillId="8" borderId="1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177" fontId="6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180" fontId="6" fillId="8" borderId="1" xfId="0" applyNumberFormat="1" applyFont="1" applyFill="1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82" fontId="0" fillId="3" borderId="1" xfId="0" applyNumberFormat="1" applyFont="1" applyFill="1" applyBorder="1" applyAlignment="1">
      <alignment horizontal="center" vertical="center"/>
    </xf>
    <xf numFmtId="182" fontId="0" fillId="4" borderId="1" xfId="0" applyNumberFormat="1" applyFont="1" applyFill="1" applyBorder="1" applyAlignment="1">
      <alignment horizontal="center" vertical="center"/>
    </xf>
    <xf numFmtId="182" fontId="0" fillId="5" borderId="1" xfId="0" applyNumberFormat="1" applyFont="1" applyFill="1" applyBorder="1" applyAlignment="1">
      <alignment horizontal="center" vertical="center"/>
    </xf>
    <xf numFmtId="182" fontId="0" fillId="6" borderId="1" xfId="0" applyNumberFormat="1" applyFont="1" applyFill="1" applyBorder="1" applyAlignment="1">
      <alignment horizontal="center" vertical="center"/>
    </xf>
    <xf numFmtId="182" fontId="0" fillId="7" borderId="1" xfId="0" applyNumberFormat="1" applyFont="1" applyFill="1" applyBorder="1" applyAlignment="1">
      <alignment horizontal="center" vertical="center"/>
    </xf>
    <xf numFmtId="183" fontId="0" fillId="0" borderId="1" xfId="0" applyNumberFormat="1" applyFont="1" applyFill="1" applyBorder="1" applyAlignment="1">
      <alignment horizontal="center" vertical="center"/>
    </xf>
    <xf numFmtId="183" fontId="0" fillId="3" borderId="1" xfId="0" applyNumberFormat="1" applyFont="1" applyFill="1" applyBorder="1" applyAlignment="1">
      <alignment horizontal="center" vertical="center"/>
    </xf>
    <xf numFmtId="183" fontId="0" fillId="4" borderId="1" xfId="0" applyNumberFormat="1" applyFont="1" applyFill="1" applyBorder="1" applyAlignment="1">
      <alignment horizontal="center" vertical="center"/>
    </xf>
    <xf numFmtId="183" fontId="0" fillId="5" borderId="1" xfId="0" applyNumberFormat="1" applyFont="1" applyFill="1" applyBorder="1" applyAlignment="1">
      <alignment horizontal="center" vertical="center"/>
    </xf>
    <xf numFmtId="183" fontId="0" fillId="6" borderId="1" xfId="0" applyNumberFormat="1" applyFont="1" applyFill="1" applyBorder="1" applyAlignment="1">
      <alignment horizontal="center" vertical="center"/>
    </xf>
    <xf numFmtId="183" fontId="0" fillId="7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1" xfId="0" applyFont="1" applyFill="1" applyBorder="1" applyAlignment="1">
      <alignment vertical="center"/>
    </xf>
    <xf numFmtId="182" fontId="6" fillId="8" borderId="1" xfId="0" applyNumberFormat="1" applyFont="1" applyFill="1" applyBorder="1" applyAlignment="1">
      <alignment horizontal="center" vertical="center"/>
    </xf>
    <xf numFmtId="3" fontId="6" fillId="8" borderId="1" xfId="0" applyNumberFormat="1" applyFont="1" applyFill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84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184" fontId="3" fillId="9" borderId="1" xfId="0" applyNumberFormat="1" applyFont="1" applyFill="1" applyBorder="1" applyAlignment="1">
      <alignment horizontal="center" vertical="center"/>
    </xf>
    <xf numFmtId="184" fontId="3" fillId="6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9" borderId="1" xfId="0" applyNumberFormat="1" applyFont="1" applyFill="1" applyBorder="1" applyAlignment="1">
      <alignment horizontal="center" vertical="center"/>
    </xf>
    <xf numFmtId="177" fontId="0" fillId="9" borderId="1" xfId="0" applyNumberFormat="1" applyFont="1" applyFill="1" applyBorder="1" applyAlignment="1">
      <alignment horizontal="center" vertical="center"/>
    </xf>
    <xf numFmtId="183" fontId="0" fillId="9" borderId="1" xfId="0" applyNumberFormat="1" applyFont="1" applyFill="1" applyBorder="1" applyAlignment="1">
      <alignment horizontal="center" vertical="center"/>
    </xf>
    <xf numFmtId="3" fontId="0" fillId="9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77" fontId="0" fillId="6" borderId="1" xfId="0" applyNumberFormat="1" applyFont="1" applyFill="1" applyBorder="1" applyAlignment="1">
      <alignment horizontal="center" vertical="center"/>
    </xf>
    <xf numFmtId="3" fontId="0" fillId="6" borderId="1" xfId="0" applyNumberFormat="1" applyFont="1" applyFill="1" applyBorder="1" applyAlignment="1">
      <alignment horizontal="center" vertical="center"/>
    </xf>
    <xf numFmtId="185" fontId="6" fillId="8" borderId="1" xfId="0" applyNumberFormat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186" fontId="6" fillId="8" borderId="1" xfId="0" applyNumberFormat="1" applyFont="1" applyFill="1" applyBorder="1" applyAlignment="1">
      <alignment horizontal="center" vertical="center"/>
    </xf>
    <xf numFmtId="184" fontId="6" fillId="8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187" fontId="3" fillId="0" borderId="1" xfId="0" applyNumberFormat="1" applyFont="1" applyFill="1" applyBorder="1" applyAlignment="1">
      <alignment horizontal="center" vertical="center"/>
    </xf>
  </cellXfs>
  <cellStyles count="1"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9537-BA2F-42F7-9597-ED29EAD07F7D}">
  <sheetPr>
    <tabColor rgb="FF1F3864"/>
    <pageSetUpPr fitToPage="1"/>
  </sheetPr>
  <dimension ref="B1:C25"/>
  <sheetViews>
    <sheetView showGridLines="0" tabSelected="1" zoomScaleNormal="100" workbookViewId="0"/>
  </sheetViews>
  <sheetFormatPr defaultRowHeight="13.5" x14ac:dyDescent="0.25"/>
  <cols>
    <col min="1" max="1" width="3.7109375" style="1" customWidth="1"/>
    <col min="2" max="2" width="22.7109375" style="1" customWidth="1"/>
    <col min="3" max="3" width="70.7109375" style="1" customWidth="1"/>
    <col min="4" max="16384" width="9.140625" style="1"/>
  </cols>
  <sheetData>
    <row r="1" spans="2:3" ht="26.25" x14ac:dyDescent="0.25">
      <c r="B1" s="2" t="s">
        <v>0</v>
      </c>
    </row>
    <row r="2" spans="2:3" x14ac:dyDescent="0.25">
      <c r="B2" s="3" t="s">
        <v>1</v>
      </c>
    </row>
    <row r="4" spans="2:3" x14ac:dyDescent="0.25">
      <c r="B4" s="4" t="s">
        <v>2</v>
      </c>
      <c r="C4" s="4" t="s">
        <v>3</v>
      </c>
    </row>
    <row r="5" spans="2:3" ht="27" x14ac:dyDescent="0.25">
      <c r="B5" s="6" t="s">
        <v>4</v>
      </c>
      <c r="C5" s="7" t="s">
        <v>5</v>
      </c>
    </row>
    <row r="6" spans="2:3" x14ac:dyDescent="0.25">
      <c r="B6" s="6" t="s">
        <v>6</v>
      </c>
      <c r="C6" s="7" t="s">
        <v>7</v>
      </c>
    </row>
    <row r="7" spans="2:3" x14ac:dyDescent="0.25">
      <c r="B7" s="6" t="s">
        <v>8</v>
      </c>
      <c r="C7" s="7" t="s">
        <v>9</v>
      </c>
    </row>
    <row r="8" spans="2:3" x14ac:dyDescent="0.25">
      <c r="B8" s="6" t="s">
        <v>10</v>
      </c>
      <c r="C8" s="7" t="s">
        <v>11</v>
      </c>
    </row>
    <row r="9" spans="2:3" x14ac:dyDescent="0.25">
      <c r="B9" s="6" t="s">
        <v>12</v>
      </c>
      <c r="C9" s="7" t="s">
        <v>13</v>
      </c>
    </row>
    <row r="11" spans="2:3" ht="17.25" x14ac:dyDescent="0.25">
      <c r="B11" s="8" t="s">
        <v>14</v>
      </c>
    </row>
    <row r="12" spans="2:3" x14ac:dyDescent="0.25">
      <c r="B12" s="11" t="s">
        <v>15</v>
      </c>
      <c r="C12" s="5" t="s">
        <v>16</v>
      </c>
    </row>
    <row r="13" spans="2:3" x14ac:dyDescent="0.25">
      <c r="B13" s="12" t="s">
        <v>17</v>
      </c>
      <c r="C13" s="5" t="s">
        <v>18</v>
      </c>
    </row>
    <row r="14" spans="2:3" x14ac:dyDescent="0.25">
      <c r="B14" s="13" t="s">
        <v>19</v>
      </c>
      <c r="C14" s="5" t="s">
        <v>20</v>
      </c>
    </row>
    <row r="15" spans="2:3" x14ac:dyDescent="0.25">
      <c r="B15" s="14" t="s">
        <v>21</v>
      </c>
      <c r="C15" s="5" t="s">
        <v>22</v>
      </c>
    </row>
    <row r="16" spans="2:3" x14ac:dyDescent="0.25">
      <c r="B16" s="15" t="s">
        <v>23</v>
      </c>
      <c r="C16" s="5" t="s">
        <v>24</v>
      </c>
    </row>
    <row r="17" spans="2:3" ht="27" x14ac:dyDescent="0.25">
      <c r="B17" s="16" t="s">
        <v>25</v>
      </c>
      <c r="C17" s="7" t="s">
        <v>26</v>
      </c>
    </row>
    <row r="18" spans="2:3" x14ac:dyDescent="0.25">
      <c r="B18" s="9" t="s">
        <v>27</v>
      </c>
      <c r="C18" s="5" t="s">
        <v>28</v>
      </c>
    </row>
    <row r="20" spans="2:3" ht="17.25" x14ac:dyDescent="0.25">
      <c r="B20" s="8" t="s">
        <v>29</v>
      </c>
    </row>
    <row r="21" spans="2:3" ht="27" x14ac:dyDescent="0.25">
      <c r="B21" s="17" t="s">
        <v>30</v>
      </c>
      <c r="C21" s="18" t="s">
        <v>31</v>
      </c>
    </row>
    <row r="22" spans="2:3" ht="27" x14ac:dyDescent="0.25">
      <c r="B22" s="17" t="s">
        <v>32</v>
      </c>
      <c r="C22" s="18" t="s">
        <v>33</v>
      </c>
    </row>
    <row r="23" spans="2:3" ht="27" x14ac:dyDescent="0.25">
      <c r="B23" s="17" t="s">
        <v>34</v>
      </c>
      <c r="C23" s="18" t="s">
        <v>35</v>
      </c>
    </row>
    <row r="24" spans="2:3" ht="27" x14ac:dyDescent="0.25">
      <c r="B24" s="17" t="s">
        <v>36</v>
      </c>
      <c r="C24" s="18" t="s">
        <v>37</v>
      </c>
    </row>
    <row r="25" spans="2:3" x14ac:dyDescent="0.25">
      <c r="B25" s="17" t="s">
        <v>38</v>
      </c>
      <c r="C25" s="18" t="s">
        <v>39</v>
      </c>
    </row>
  </sheetData>
  <phoneticPr fontId="8" type="noConversion"/>
  <pageMargins left="0.7" right="0.7" top="0.75" bottom="0.75" header="0.3" footer="0.3"/>
  <pageSetup paperSize="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124C-5F18-492F-8692-BBC54AB5A288}">
  <sheetPr>
    <tabColor rgb="FF2F5597"/>
    <pageSetUpPr fitToPage="1"/>
  </sheetPr>
  <dimension ref="A1:H39"/>
  <sheetViews>
    <sheetView showGridLines="0" zoomScaleNormal="100" workbookViewId="0"/>
  </sheetViews>
  <sheetFormatPr defaultRowHeight="13.5" x14ac:dyDescent="0.25"/>
  <cols>
    <col min="1" max="1" width="26.7109375" style="1" customWidth="1"/>
    <col min="2" max="7" width="17.7109375" style="1" customWidth="1"/>
    <col min="8" max="8" width="40.7109375" style="1" customWidth="1"/>
    <col min="9" max="16384" width="9.140625" style="1"/>
  </cols>
  <sheetData>
    <row r="1" spans="1:6" ht="26.25" x14ac:dyDescent="0.25">
      <c r="A1" s="2" t="s">
        <v>40</v>
      </c>
    </row>
    <row r="2" spans="1:6" x14ac:dyDescent="0.25">
      <c r="A2" s="3" t="s">
        <v>41</v>
      </c>
    </row>
    <row r="4" spans="1:6" ht="17.25" x14ac:dyDescent="0.25">
      <c r="A4" s="8" t="s">
        <v>42</v>
      </c>
    </row>
    <row r="5" spans="1:6" ht="27" x14ac:dyDescent="0.25">
      <c r="A5" s="19" t="s">
        <v>43</v>
      </c>
      <c r="B5" s="19" t="s">
        <v>44</v>
      </c>
      <c r="C5" s="19" t="s">
        <v>45</v>
      </c>
      <c r="D5" s="19" t="s">
        <v>46</v>
      </c>
      <c r="E5" s="19" t="s">
        <v>47</v>
      </c>
      <c r="F5" s="19" t="s">
        <v>48</v>
      </c>
    </row>
    <row r="6" spans="1:6" x14ac:dyDescent="0.25">
      <c r="A6" s="11" t="s">
        <v>15</v>
      </c>
      <c r="B6" s="20">
        <v>1</v>
      </c>
      <c r="C6" s="20">
        <v>1</v>
      </c>
      <c r="D6" s="21">
        <v>0.2</v>
      </c>
      <c r="E6" s="22">
        <v>0</v>
      </c>
      <c r="F6" s="21">
        <v>1</v>
      </c>
    </row>
    <row r="7" spans="1:6" x14ac:dyDescent="0.25">
      <c r="A7" s="12" t="s">
        <v>17</v>
      </c>
      <c r="B7" s="20">
        <v>20</v>
      </c>
      <c r="C7" s="20">
        <v>3</v>
      </c>
      <c r="D7" s="21">
        <v>0.4</v>
      </c>
      <c r="E7" s="22">
        <v>0.1</v>
      </c>
      <c r="F7" s="21">
        <v>1</v>
      </c>
    </row>
    <row r="8" spans="1:6" x14ac:dyDescent="0.25">
      <c r="A8" s="13" t="s">
        <v>19</v>
      </c>
      <c r="B8" s="20">
        <v>40</v>
      </c>
      <c r="C8" s="20">
        <v>7</v>
      </c>
      <c r="D8" s="21">
        <v>0.6</v>
      </c>
      <c r="E8" s="22">
        <v>0.25</v>
      </c>
      <c r="F8" s="21">
        <v>0.95</v>
      </c>
    </row>
    <row r="9" spans="1:6" x14ac:dyDescent="0.25">
      <c r="A9" s="14" t="s">
        <v>21</v>
      </c>
      <c r="B9" s="20">
        <v>80</v>
      </c>
      <c r="C9" s="20">
        <v>25</v>
      </c>
      <c r="D9" s="21">
        <v>0.8</v>
      </c>
      <c r="E9" s="22">
        <v>0.45</v>
      </c>
      <c r="F9" s="21">
        <v>0.85</v>
      </c>
    </row>
    <row r="10" spans="1:6" x14ac:dyDescent="0.25">
      <c r="A10" s="15" t="s">
        <v>23</v>
      </c>
      <c r="B10" s="20">
        <v>120</v>
      </c>
      <c r="C10" s="20">
        <v>80</v>
      </c>
      <c r="D10" s="21">
        <v>1</v>
      </c>
      <c r="E10" s="22">
        <v>0.8</v>
      </c>
      <c r="F10" s="21">
        <v>0.75</v>
      </c>
    </row>
    <row r="11" spans="1:6" x14ac:dyDescent="0.25">
      <c r="A11" s="3" t="s">
        <v>49</v>
      </c>
    </row>
    <row r="13" spans="1:6" ht="17.25" x14ac:dyDescent="0.25">
      <c r="A13" s="8" t="s">
        <v>50</v>
      </c>
    </row>
    <row r="14" spans="1:6" x14ac:dyDescent="0.25">
      <c r="A14" s="4" t="s">
        <v>51</v>
      </c>
      <c r="B14" s="4" t="s">
        <v>52</v>
      </c>
    </row>
    <row r="15" spans="1:6" x14ac:dyDescent="0.25">
      <c r="A15" s="23">
        <v>1</v>
      </c>
      <c r="B15" s="21">
        <v>0.8</v>
      </c>
    </row>
    <row r="16" spans="1:6" x14ac:dyDescent="0.25">
      <c r="A16" s="23">
        <v>3</v>
      </c>
      <c r="B16" s="21">
        <v>0.18</v>
      </c>
    </row>
    <row r="17" spans="1:8" x14ac:dyDescent="0.25">
      <c r="A17" s="23">
        <v>7</v>
      </c>
      <c r="B17" s="21">
        <v>0.02</v>
      </c>
    </row>
    <row r="18" spans="1:8" x14ac:dyDescent="0.25">
      <c r="A18" s="6" t="s">
        <v>53</v>
      </c>
      <c r="B18" s="24">
        <f>SUM(B15:B17)</f>
        <v>1</v>
      </c>
    </row>
    <row r="19" spans="1:8" x14ac:dyDescent="0.25">
      <c r="A19" s="6" t="s">
        <v>54</v>
      </c>
      <c r="B19" s="25">
        <f>SUMPRODUCT(A15:A17,B15:B17)</f>
        <v>1.48</v>
      </c>
    </row>
    <row r="20" spans="1:8" x14ac:dyDescent="0.25">
      <c r="A20" s="3" t="s">
        <v>55</v>
      </c>
    </row>
    <row r="22" spans="1:8" ht="17.25" x14ac:dyDescent="0.25">
      <c r="A22" s="8" t="s">
        <v>56</v>
      </c>
    </row>
    <row r="23" spans="1:8" x14ac:dyDescent="0.25">
      <c r="A23" s="4" t="s">
        <v>57</v>
      </c>
      <c r="B23" s="4" t="s">
        <v>58</v>
      </c>
      <c r="C23" s="26" t="s">
        <v>17</v>
      </c>
      <c r="D23" s="27" t="s">
        <v>19</v>
      </c>
      <c r="E23" s="28" t="s">
        <v>21</v>
      </c>
      <c r="F23" s="29" t="s">
        <v>23</v>
      </c>
    </row>
    <row r="24" spans="1:8" x14ac:dyDescent="0.25">
      <c r="A24" s="6" t="s">
        <v>59</v>
      </c>
      <c r="B24" s="30">
        <v>12</v>
      </c>
      <c r="C24" s="31">
        <f>ROUND(B$7*$B24/$B$19,0)</f>
        <v>162</v>
      </c>
      <c r="D24" s="31">
        <f>ROUND(B$8*$B24/$B$19,0)</f>
        <v>324</v>
      </c>
      <c r="E24" s="31">
        <f>ROUND(B$9*$B24/$B$19,0)</f>
        <v>649</v>
      </c>
      <c r="F24" s="31">
        <f>ROUND(B$10*$B24/$B$19,0)</f>
        <v>973</v>
      </c>
    </row>
    <row r="25" spans="1:8" x14ac:dyDescent="0.25">
      <c r="A25" s="6" t="s">
        <v>60</v>
      </c>
      <c r="B25" s="30">
        <v>4</v>
      </c>
      <c r="C25" s="31">
        <f>ROUND(B$7*$B25/$B$19,0)</f>
        <v>54</v>
      </c>
      <c r="D25" s="31">
        <f>ROUND(B$8*$B25/$B$19,0)</f>
        <v>108</v>
      </c>
      <c r="E25" s="31">
        <f>ROUND(B$9*$B25/$B$19,0)</f>
        <v>216</v>
      </c>
      <c r="F25" s="31">
        <f>ROUND(B$10*$B25/$B$19,0)</f>
        <v>324</v>
      </c>
    </row>
    <row r="26" spans="1:8" x14ac:dyDescent="0.25">
      <c r="A26" s="6" t="s">
        <v>61</v>
      </c>
      <c r="B26" s="30">
        <v>10</v>
      </c>
      <c r="C26" s="31">
        <f>ROUND(C$7*$B26/$B$19,0)</f>
        <v>20</v>
      </c>
      <c r="D26" s="31">
        <f>ROUND(C$8*$B26/$B$19,0)</f>
        <v>47</v>
      </c>
      <c r="E26" s="31">
        <f>ROUND(C$9*$B26/$B$19,0)</f>
        <v>169</v>
      </c>
      <c r="F26" s="31">
        <f>ROUND(C$10*$B26/$B$19,0)</f>
        <v>541</v>
      </c>
    </row>
    <row r="27" spans="1:8" x14ac:dyDescent="0.25">
      <c r="A27" s="3" t="s">
        <v>62</v>
      </c>
    </row>
    <row r="29" spans="1:8" ht="17.25" x14ac:dyDescent="0.25">
      <c r="A29" s="8" t="s">
        <v>63</v>
      </c>
    </row>
    <row r="30" spans="1:8" x14ac:dyDescent="0.25">
      <c r="A30" s="4" t="s">
        <v>64</v>
      </c>
      <c r="B30" s="32" t="s">
        <v>65</v>
      </c>
      <c r="C30" s="35" t="s">
        <v>66</v>
      </c>
      <c r="D30" s="35"/>
      <c r="E30" s="36" t="s">
        <v>67</v>
      </c>
      <c r="F30" s="36"/>
      <c r="G30" s="36"/>
      <c r="H30" s="36"/>
    </row>
    <row r="31" spans="1:8" ht="20.100000000000001" customHeight="1" x14ac:dyDescent="0.25">
      <c r="A31" s="6" t="s">
        <v>68</v>
      </c>
      <c r="B31" s="9" t="s">
        <v>69</v>
      </c>
      <c r="C31" s="33" t="s">
        <v>70</v>
      </c>
      <c r="D31" s="33"/>
      <c r="E31" s="34" t="s">
        <v>71</v>
      </c>
      <c r="F31" s="34"/>
      <c r="G31" s="34"/>
      <c r="H31" s="34"/>
    </row>
    <row r="32" spans="1:8" ht="20.100000000000001" customHeight="1" x14ac:dyDescent="0.25">
      <c r="A32" s="6" t="s">
        <v>72</v>
      </c>
      <c r="B32" s="9" t="s">
        <v>73</v>
      </c>
      <c r="C32" s="33" t="s">
        <v>70</v>
      </c>
      <c r="D32" s="33"/>
      <c r="E32" s="34"/>
      <c r="F32" s="34"/>
      <c r="G32" s="34"/>
      <c r="H32" s="34"/>
    </row>
    <row r="33" spans="1:8" ht="20.100000000000001" customHeight="1" x14ac:dyDescent="0.25">
      <c r="A33" s="6" t="s">
        <v>74</v>
      </c>
      <c r="B33" s="9" t="s">
        <v>75</v>
      </c>
      <c r="C33" s="33" t="s">
        <v>76</v>
      </c>
      <c r="D33" s="33"/>
      <c r="E33" s="34"/>
      <c r="F33" s="34"/>
      <c r="G33" s="34"/>
      <c r="H33" s="34"/>
    </row>
    <row r="34" spans="1:8" ht="20.100000000000001" customHeight="1" x14ac:dyDescent="0.25">
      <c r="A34" s="6" t="s">
        <v>77</v>
      </c>
      <c r="B34" s="9" t="s">
        <v>69</v>
      </c>
      <c r="C34" s="33" t="s">
        <v>78</v>
      </c>
      <c r="D34" s="33"/>
      <c r="E34" s="34" t="s">
        <v>79</v>
      </c>
      <c r="F34" s="34"/>
      <c r="G34" s="34"/>
      <c r="H34" s="34"/>
    </row>
    <row r="35" spans="1:8" ht="33.950000000000003" customHeight="1" x14ac:dyDescent="0.25">
      <c r="A35" s="6" t="s">
        <v>80</v>
      </c>
      <c r="B35" s="9" t="s">
        <v>81</v>
      </c>
      <c r="C35" s="33" t="s">
        <v>82</v>
      </c>
      <c r="D35" s="33"/>
      <c r="E35" s="34" t="s">
        <v>83</v>
      </c>
      <c r="F35" s="34"/>
      <c r="G35" s="34"/>
      <c r="H35" s="34"/>
    </row>
    <row r="36" spans="1:8" ht="20.100000000000001" customHeight="1" x14ac:dyDescent="0.25">
      <c r="A36" s="6" t="s">
        <v>84</v>
      </c>
      <c r="B36" s="9" t="s">
        <v>69</v>
      </c>
      <c r="C36" s="33" t="s">
        <v>85</v>
      </c>
      <c r="D36" s="33"/>
      <c r="E36" s="34" t="s">
        <v>86</v>
      </c>
      <c r="F36" s="34"/>
      <c r="G36" s="34"/>
      <c r="H36" s="34"/>
    </row>
    <row r="38" spans="1:8" x14ac:dyDescent="0.25">
      <c r="A38" s="3" t="s">
        <v>87</v>
      </c>
    </row>
    <row r="39" spans="1:8" x14ac:dyDescent="0.25">
      <c r="A39" s="3" t="s">
        <v>88</v>
      </c>
    </row>
  </sheetData>
  <mergeCells count="14">
    <mergeCell ref="C30:D30"/>
    <mergeCell ref="E30:H30"/>
    <mergeCell ref="C34:D34"/>
    <mergeCell ref="E34:H34"/>
    <mergeCell ref="C35:D35"/>
    <mergeCell ref="E35:H35"/>
    <mergeCell ref="C36:D36"/>
    <mergeCell ref="E36:H36"/>
    <mergeCell ref="C31:D31"/>
    <mergeCell ref="E31:H31"/>
    <mergeCell ref="C32:D32"/>
    <mergeCell ref="E32:H32"/>
    <mergeCell ref="C33:D33"/>
    <mergeCell ref="E33:H33"/>
  </mergeCells>
  <phoneticPr fontId="8" type="noConversion"/>
  <pageMargins left="0.7" right="0.7" top="0.75" bottom="0.75" header="0.3" footer="0.3"/>
  <pageSetup paperSize="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58FD-A206-4263-B14A-8C16870C6E29}">
  <sheetPr>
    <tabColor rgb="FF70AD47"/>
    <pageSetUpPr fitToPage="1"/>
  </sheetPr>
  <dimension ref="A1:J29"/>
  <sheetViews>
    <sheetView showGridLines="0" zoomScaleNormal="100" workbookViewId="0"/>
  </sheetViews>
  <sheetFormatPr defaultRowHeight="13.5" x14ac:dyDescent="0.25"/>
  <cols>
    <col min="1" max="1" width="6.7109375" style="1" customWidth="1"/>
    <col min="2" max="2" width="11.7109375" style="1" customWidth="1"/>
    <col min="3" max="3" width="16.7109375" style="1" customWidth="1"/>
    <col min="4" max="4" width="18.7109375" style="1" customWidth="1"/>
    <col min="5" max="5" width="12.7109375" style="1" customWidth="1"/>
    <col min="6" max="11" width="11.7109375" style="1" customWidth="1"/>
    <col min="12" max="16384" width="9.140625" style="1"/>
  </cols>
  <sheetData>
    <row r="1" spans="1:10" ht="26.25" x14ac:dyDescent="0.25">
      <c r="A1" s="2" t="s">
        <v>89</v>
      </c>
    </row>
    <row r="2" spans="1:10" x14ac:dyDescent="0.25">
      <c r="A2" s="3" t="s">
        <v>90</v>
      </c>
    </row>
    <row r="4" spans="1:10" ht="17.25" x14ac:dyDescent="0.25">
      <c r="A4" s="8" t="s">
        <v>91</v>
      </c>
    </row>
    <row r="5" spans="1:10" x14ac:dyDescent="0.25">
      <c r="A5" s="32" t="s">
        <v>92</v>
      </c>
      <c r="B5" s="32" t="s">
        <v>93</v>
      </c>
      <c r="C5" s="32" t="s">
        <v>94</v>
      </c>
      <c r="D5" s="32" t="s">
        <v>95</v>
      </c>
      <c r="E5" s="32" t="s">
        <v>96</v>
      </c>
      <c r="F5" s="37" t="s">
        <v>15</v>
      </c>
      <c r="G5" s="38" t="s">
        <v>17</v>
      </c>
      <c r="H5" s="39" t="s">
        <v>19</v>
      </c>
      <c r="I5" s="40" t="s">
        <v>21</v>
      </c>
      <c r="J5" s="41" t="s">
        <v>23</v>
      </c>
    </row>
    <row r="6" spans="1:10" x14ac:dyDescent="0.25">
      <c r="A6" s="33">
        <v>1</v>
      </c>
      <c r="B6" s="53" t="s">
        <v>97</v>
      </c>
      <c r="C6" s="33" t="s">
        <v>98</v>
      </c>
      <c r="D6" s="5" t="s">
        <v>99</v>
      </c>
      <c r="E6" s="21">
        <v>-0.3</v>
      </c>
      <c r="F6" s="42">
        <f>$E6*'등급과 보급'!$D$6</f>
        <v>-0.06</v>
      </c>
      <c r="G6" s="43">
        <f>$E6*'등급과 보급'!$D$7</f>
        <v>-0.12</v>
      </c>
      <c r="H6" s="44">
        <f>$E6*'등급과 보급'!$D$8</f>
        <v>-0.18</v>
      </c>
      <c r="I6" s="45">
        <f>$E6*'등급과 보급'!$D$9</f>
        <v>-0.24</v>
      </c>
      <c r="J6" s="46">
        <f>$E6*'등급과 보급'!$D$10</f>
        <v>-0.3</v>
      </c>
    </row>
    <row r="7" spans="1:10" x14ac:dyDescent="0.25">
      <c r="A7" s="33"/>
      <c r="B7" s="53"/>
      <c r="C7" s="33"/>
      <c r="D7" s="5" t="s">
        <v>100</v>
      </c>
      <c r="E7" s="22">
        <v>0.3</v>
      </c>
      <c r="F7" s="48">
        <f>$E7*'등급과 보급'!$D$6</f>
        <v>0.06</v>
      </c>
      <c r="G7" s="49">
        <f>$E7*'등급과 보급'!$D$7</f>
        <v>0.12</v>
      </c>
      <c r="H7" s="50">
        <f>$E7*'등급과 보급'!$D$8</f>
        <v>0.18</v>
      </c>
      <c r="I7" s="51">
        <f>$E7*'등급과 보급'!$D$9</f>
        <v>0.24</v>
      </c>
      <c r="J7" s="52">
        <f>$E7*'등급과 보급'!$D$10</f>
        <v>0.3</v>
      </c>
    </row>
    <row r="8" spans="1:10" x14ac:dyDescent="0.25">
      <c r="A8" s="33"/>
      <c r="B8" s="53"/>
      <c r="C8" s="33"/>
      <c r="D8" s="5" t="s">
        <v>101</v>
      </c>
      <c r="E8" s="22">
        <v>0.02</v>
      </c>
      <c r="F8" s="48">
        <f>$E8*'등급과 보급'!$D$6</f>
        <v>4.0000000000000001E-3</v>
      </c>
      <c r="G8" s="49">
        <f>$E8*'등급과 보급'!$D$7</f>
        <v>8.0000000000000002E-3</v>
      </c>
      <c r="H8" s="50">
        <f>$E8*'등급과 보급'!$D$8</f>
        <v>1.2E-2</v>
      </c>
      <c r="I8" s="51">
        <f>$E8*'등급과 보급'!$D$9</f>
        <v>1.6E-2</v>
      </c>
      <c r="J8" s="52">
        <f>$E8*'등급과 보급'!$D$10</f>
        <v>0.02</v>
      </c>
    </row>
    <row r="9" spans="1:10" x14ac:dyDescent="0.25">
      <c r="A9" s="33">
        <v>2</v>
      </c>
      <c r="B9" s="53" t="s">
        <v>102</v>
      </c>
      <c r="C9" s="33" t="s">
        <v>103</v>
      </c>
      <c r="D9" s="5" t="s">
        <v>104</v>
      </c>
      <c r="E9" s="22">
        <v>0.3</v>
      </c>
      <c r="F9" s="48">
        <f>$E9*'등급과 보급'!$D$6</f>
        <v>0.06</v>
      </c>
      <c r="G9" s="49">
        <f>$E9*'등급과 보급'!$D$7</f>
        <v>0.12</v>
      </c>
      <c r="H9" s="50">
        <f>$E9*'등급과 보급'!$D$8</f>
        <v>0.18</v>
      </c>
      <c r="I9" s="51">
        <f>$E9*'등급과 보급'!$D$9</f>
        <v>0.24</v>
      </c>
      <c r="J9" s="52">
        <f>$E9*'등급과 보급'!$D$10</f>
        <v>0.3</v>
      </c>
    </row>
    <row r="10" spans="1:10" x14ac:dyDescent="0.25">
      <c r="A10" s="33"/>
      <c r="B10" s="53"/>
      <c r="C10" s="33"/>
      <c r="D10" s="5" t="s">
        <v>105</v>
      </c>
      <c r="E10" s="22">
        <v>0.5</v>
      </c>
      <c r="F10" s="48">
        <f>$E10*'등급과 보급'!$D$6</f>
        <v>0.1</v>
      </c>
      <c r="G10" s="49">
        <f>$E10*'등급과 보급'!$D$7</f>
        <v>0.2</v>
      </c>
      <c r="H10" s="50">
        <f>$E10*'등급과 보급'!$D$8</f>
        <v>0.3</v>
      </c>
      <c r="I10" s="51">
        <f>$E10*'등급과 보급'!$D$9</f>
        <v>0.4</v>
      </c>
      <c r="J10" s="52">
        <f>$E10*'등급과 보급'!$D$10</f>
        <v>0.5</v>
      </c>
    </row>
    <row r="11" spans="1:10" x14ac:dyDescent="0.25">
      <c r="A11" s="33">
        <v>3</v>
      </c>
      <c r="B11" s="53" t="s">
        <v>106</v>
      </c>
      <c r="C11" s="33" t="s">
        <v>107</v>
      </c>
      <c r="D11" s="5" t="s">
        <v>108</v>
      </c>
      <c r="E11" s="22">
        <v>0.5</v>
      </c>
      <c r="F11" s="48">
        <f>$E11*'등급과 보급'!$D$6</f>
        <v>0.1</v>
      </c>
      <c r="G11" s="49">
        <f>$E11*'등급과 보급'!$D$7</f>
        <v>0.2</v>
      </c>
      <c r="H11" s="50">
        <f>$E11*'등급과 보급'!$D$8</f>
        <v>0.3</v>
      </c>
      <c r="I11" s="51">
        <f>$E11*'등급과 보급'!$D$9</f>
        <v>0.4</v>
      </c>
      <c r="J11" s="52">
        <f>$E11*'등급과 보급'!$D$10</f>
        <v>0.5</v>
      </c>
    </row>
    <row r="12" spans="1:10" x14ac:dyDescent="0.25">
      <c r="A12" s="33"/>
      <c r="B12" s="53"/>
      <c r="C12" s="33"/>
      <c r="D12" s="5" t="s">
        <v>109</v>
      </c>
      <c r="E12" s="22">
        <v>0.3</v>
      </c>
      <c r="F12" s="48">
        <f>$E12*'등급과 보급'!$D$6</f>
        <v>0.06</v>
      </c>
      <c r="G12" s="49">
        <f>$E12*'등급과 보급'!$D$7</f>
        <v>0.12</v>
      </c>
      <c r="H12" s="50">
        <f>$E12*'등급과 보급'!$D$8</f>
        <v>0.18</v>
      </c>
      <c r="I12" s="51">
        <f>$E12*'등급과 보급'!$D$9</f>
        <v>0.24</v>
      </c>
      <c r="J12" s="52">
        <f>$E12*'등급과 보급'!$D$10</f>
        <v>0.3</v>
      </c>
    </row>
    <row r="13" spans="1:10" x14ac:dyDescent="0.25">
      <c r="A13" s="33">
        <v>4</v>
      </c>
      <c r="B13" s="53" t="s">
        <v>110</v>
      </c>
      <c r="C13" s="33" t="s">
        <v>111</v>
      </c>
      <c r="D13" s="5" t="s">
        <v>112</v>
      </c>
      <c r="E13" s="22">
        <v>0.5</v>
      </c>
      <c r="F13" s="48">
        <f>$E13*'등급과 보급'!$D$6</f>
        <v>0.1</v>
      </c>
      <c r="G13" s="49">
        <f>$E13*'등급과 보급'!$D$7</f>
        <v>0.2</v>
      </c>
      <c r="H13" s="50">
        <f>$E13*'등급과 보급'!$D$8</f>
        <v>0.3</v>
      </c>
      <c r="I13" s="51">
        <f>$E13*'등급과 보급'!$D$9</f>
        <v>0.4</v>
      </c>
      <c r="J13" s="52">
        <f>$E13*'등급과 보급'!$D$10</f>
        <v>0.5</v>
      </c>
    </row>
    <row r="14" spans="1:10" x14ac:dyDescent="0.25">
      <c r="A14" s="33"/>
      <c r="B14" s="53"/>
      <c r="C14" s="33"/>
      <c r="D14" s="5" t="s">
        <v>113</v>
      </c>
      <c r="E14" s="22">
        <v>1.5</v>
      </c>
      <c r="F14" s="48">
        <f>$E14*'등급과 보급'!$D$6</f>
        <v>0.30000000000000004</v>
      </c>
      <c r="G14" s="49">
        <f>$E14*'등급과 보급'!$D$7</f>
        <v>0.60000000000000009</v>
      </c>
      <c r="H14" s="50">
        <f>$E14*'등급과 보급'!$D$8</f>
        <v>0.89999999999999991</v>
      </c>
      <c r="I14" s="51">
        <f>$E14*'등급과 보급'!$D$9</f>
        <v>1.2000000000000002</v>
      </c>
      <c r="J14" s="52">
        <f>$E14*'등급과 보급'!$D$10</f>
        <v>1.5</v>
      </c>
    </row>
    <row r="15" spans="1:10" x14ac:dyDescent="0.25">
      <c r="A15" s="33"/>
      <c r="B15" s="53"/>
      <c r="C15" s="33"/>
      <c r="D15" s="5" t="s">
        <v>114</v>
      </c>
      <c r="E15" s="22">
        <v>0.5</v>
      </c>
      <c r="F15" s="48">
        <f>$E15*'등급과 보급'!$D$6</f>
        <v>0.1</v>
      </c>
      <c r="G15" s="49">
        <f>$E15*'등급과 보급'!$D$7</f>
        <v>0.2</v>
      </c>
      <c r="H15" s="50">
        <f>$E15*'등급과 보급'!$D$8</f>
        <v>0.3</v>
      </c>
      <c r="I15" s="51">
        <f>$E15*'등급과 보급'!$D$9</f>
        <v>0.4</v>
      </c>
      <c r="J15" s="52">
        <f>$E15*'등급과 보급'!$D$10</f>
        <v>0.5</v>
      </c>
    </row>
    <row r="16" spans="1:10" x14ac:dyDescent="0.25">
      <c r="A16" s="3" t="s">
        <v>115</v>
      </c>
    </row>
    <row r="18" spans="1:10" ht="17.25" x14ac:dyDescent="0.25">
      <c r="A18" s="8" t="s">
        <v>116</v>
      </c>
    </row>
    <row r="19" spans="1:10" x14ac:dyDescent="0.25">
      <c r="A19" s="36" t="s">
        <v>93</v>
      </c>
      <c r="B19" s="36"/>
      <c r="C19" s="32" t="s">
        <v>117</v>
      </c>
      <c r="D19" s="54" t="s">
        <v>19</v>
      </c>
      <c r="E19" s="54"/>
      <c r="F19" s="55" t="s">
        <v>21</v>
      </c>
      <c r="G19" s="55"/>
      <c r="H19" s="56" t="s">
        <v>118</v>
      </c>
      <c r="I19" s="56"/>
      <c r="J19" s="56"/>
    </row>
    <row r="20" spans="1:10" ht="48" customHeight="1" x14ac:dyDescent="0.25">
      <c r="A20" s="53" t="s">
        <v>97</v>
      </c>
      <c r="B20" s="53"/>
      <c r="C20" s="10" t="s">
        <v>119</v>
      </c>
      <c r="D20" s="57" t="s">
        <v>120</v>
      </c>
      <c r="E20" s="57"/>
      <c r="F20" s="58" t="s">
        <v>121</v>
      </c>
      <c r="G20" s="58"/>
      <c r="H20" s="59" t="s">
        <v>122</v>
      </c>
      <c r="I20" s="59"/>
      <c r="J20" s="59"/>
    </row>
    <row r="21" spans="1:10" ht="48" customHeight="1" x14ac:dyDescent="0.25">
      <c r="A21" s="53" t="s">
        <v>102</v>
      </c>
      <c r="B21" s="53"/>
      <c r="C21" s="10" t="s">
        <v>123</v>
      </c>
      <c r="D21" s="57" t="s">
        <v>124</v>
      </c>
      <c r="E21" s="57"/>
      <c r="F21" s="58" t="s">
        <v>125</v>
      </c>
      <c r="G21" s="58"/>
      <c r="H21" s="59" t="s">
        <v>126</v>
      </c>
      <c r="I21" s="59"/>
      <c r="J21" s="59"/>
    </row>
    <row r="22" spans="1:10" ht="48" customHeight="1" x14ac:dyDescent="0.25">
      <c r="A22" s="53" t="s">
        <v>106</v>
      </c>
      <c r="B22" s="53"/>
      <c r="C22" s="10" t="s">
        <v>127</v>
      </c>
      <c r="D22" s="57" t="s">
        <v>128</v>
      </c>
      <c r="E22" s="57"/>
      <c r="F22" s="58" t="s">
        <v>129</v>
      </c>
      <c r="G22" s="58"/>
      <c r="H22" s="59" t="s">
        <v>130</v>
      </c>
      <c r="I22" s="59"/>
      <c r="J22" s="59"/>
    </row>
    <row r="23" spans="1:10" ht="48" customHeight="1" x14ac:dyDescent="0.25">
      <c r="A23" s="53" t="s">
        <v>110</v>
      </c>
      <c r="B23" s="53"/>
      <c r="C23" s="10" t="s">
        <v>131</v>
      </c>
      <c r="D23" s="57" t="s">
        <v>132</v>
      </c>
      <c r="E23" s="57"/>
      <c r="F23" s="58" t="s">
        <v>133</v>
      </c>
      <c r="G23" s="58"/>
      <c r="H23" s="59" t="s">
        <v>134</v>
      </c>
      <c r="I23" s="59"/>
      <c r="J23" s="59"/>
    </row>
    <row r="25" spans="1:10" ht="17.25" x14ac:dyDescent="0.25">
      <c r="A25" s="8" t="s">
        <v>135</v>
      </c>
    </row>
    <row r="26" spans="1:10" ht="18" customHeight="1" x14ac:dyDescent="0.25">
      <c r="A26" s="60" t="s">
        <v>136</v>
      </c>
      <c r="B26" s="60"/>
      <c r="C26" s="60"/>
      <c r="D26" s="60"/>
      <c r="E26" s="60"/>
      <c r="F26" s="60"/>
      <c r="G26" s="60"/>
      <c r="H26" s="60"/>
      <c r="I26" s="60"/>
      <c r="J26" s="60"/>
    </row>
    <row r="27" spans="1:10" ht="30" customHeight="1" x14ac:dyDescent="0.25">
      <c r="A27" s="60" t="s">
        <v>137</v>
      </c>
      <c r="B27" s="60"/>
      <c r="C27" s="60"/>
      <c r="D27" s="60"/>
      <c r="E27" s="60"/>
      <c r="F27" s="60"/>
      <c r="G27" s="60"/>
      <c r="H27" s="60"/>
      <c r="I27" s="60"/>
      <c r="J27" s="60"/>
    </row>
    <row r="28" spans="1:10" ht="30" customHeight="1" x14ac:dyDescent="0.25">
      <c r="A28" s="60" t="s">
        <v>138</v>
      </c>
      <c r="B28" s="60"/>
      <c r="C28" s="60"/>
      <c r="D28" s="60"/>
      <c r="E28" s="60"/>
      <c r="F28" s="60"/>
      <c r="G28" s="60"/>
      <c r="H28" s="60"/>
      <c r="I28" s="60"/>
      <c r="J28" s="60"/>
    </row>
    <row r="29" spans="1:10" ht="18" customHeight="1" x14ac:dyDescent="0.25">
      <c r="A29" s="60" t="s">
        <v>139</v>
      </c>
      <c r="B29" s="60"/>
      <c r="C29" s="60"/>
      <c r="D29" s="60"/>
      <c r="E29" s="60"/>
      <c r="F29" s="60"/>
      <c r="G29" s="60"/>
      <c r="H29" s="60"/>
      <c r="I29" s="60"/>
      <c r="J29" s="60"/>
    </row>
  </sheetData>
  <mergeCells count="36">
    <mergeCell ref="A28:J28"/>
    <mergeCell ref="A29:J29"/>
    <mergeCell ref="A23:B23"/>
    <mergeCell ref="D23:E23"/>
    <mergeCell ref="F23:G23"/>
    <mergeCell ref="H23:J23"/>
    <mergeCell ref="A26:J26"/>
    <mergeCell ref="A27:J27"/>
    <mergeCell ref="A21:B21"/>
    <mergeCell ref="D21:E21"/>
    <mergeCell ref="F21:G21"/>
    <mergeCell ref="H21:J21"/>
    <mergeCell ref="A22:B22"/>
    <mergeCell ref="D22:E22"/>
    <mergeCell ref="F22:G22"/>
    <mergeCell ref="H22:J22"/>
    <mergeCell ref="A19:B19"/>
    <mergeCell ref="D19:E19"/>
    <mergeCell ref="F19:G19"/>
    <mergeCell ref="H19:J19"/>
    <mergeCell ref="A20:B20"/>
    <mergeCell ref="D20:E20"/>
    <mergeCell ref="F20:G20"/>
    <mergeCell ref="H20:J20"/>
    <mergeCell ref="A11:A12"/>
    <mergeCell ref="B11:B12"/>
    <mergeCell ref="C11:C12"/>
    <mergeCell ref="A13:A15"/>
    <mergeCell ref="B13:B15"/>
    <mergeCell ref="C13:C15"/>
    <mergeCell ref="A6:A8"/>
    <mergeCell ref="B6:B8"/>
    <mergeCell ref="C6:C8"/>
    <mergeCell ref="A9:A10"/>
    <mergeCell ref="B9:B10"/>
    <mergeCell ref="C9:C10"/>
  </mergeCells>
  <phoneticPr fontId="8" type="noConversion"/>
  <pageMargins left="0.7" right="0.7" top="0.75" bottom="0.75" header="0.3" footer="0.3"/>
  <pageSetup paperSize="9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AF73-1C22-4757-A812-CB844C999E3F}">
  <sheetPr>
    <tabColor rgb="FFED7D31"/>
    <pageSetUpPr fitToPage="1"/>
  </sheetPr>
  <dimension ref="A1:K46"/>
  <sheetViews>
    <sheetView showGridLines="0" zoomScaleNormal="100" workbookViewId="0"/>
  </sheetViews>
  <sheetFormatPr defaultRowHeight="13.5" x14ac:dyDescent="0.25"/>
  <cols>
    <col min="1" max="1" width="10.7109375" style="1" customWidth="1"/>
    <col min="2" max="2" width="8.7109375" style="1" customWidth="1"/>
    <col min="3" max="4" width="17.7109375" style="1" customWidth="1"/>
    <col min="5" max="5" width="16.7109375" style="1" customWidth="1"/>
    <col min="6" max="6" width="11.7109375" style="1" customWidth="1"/>
    <col min="7" max="11" width="10.7109375" style="1" customWidth="1"/>
    <col min="12" max="16384" width="9.140625" style="1"/>
  </cols>
  <sheetData>
    <row r="1" spans="1:11" ht="26.25" x14ac:dyDescent="0.25">
      <c r="A1" s="2" t="s">
        <v>140</v>
      </c>
    </row>
    <row r="2" spans="1:11" x14ac:dyDescent="0.25">
      <c r="A2" s="3" t="s">
        <v>141</v>
      </c>
    </row>
    <row r="4" spans="1:11" ht="17.25" x14ac:dyDescent="0.25">
      <c r="A4" s="8" t="s">
        <v>142</v>
      </c>
    </row>
    <row r="5" spans="1:11" x14ac:dyDescent="0.25">
      <c r="A5" s="32" t="s">
        <v>143</v>
      </c>
      <c r="B5" s="32" t="s">
        <v>144</v>
      </c>
      <c r="C5" s="32" t="s">
        <v>145</v>
      </c>
      <c r="D5" s="32" t="s">
        <v>146</v>
      </c>
      <c r="E5" s="32" t="s">
        <v>95</v>
      </c>
      <c r="F5" s="32" t="s">
        <v>96</v>
      </c>
      <c r="G5" s="37" t="s">
        <v>15</v>
      </c>
      <c r="H5" s="38" t="s">
        <v>17</v>
      </c>
      <c r="I5" s="39" t="s">
        <v>19</v>
      </c>
      <c r="J5" s="40" t="s">
        <v>21</v>
      </c>
      <c r="K5" s="41" t="s">
        <v>23</v>
      </c>
    </row>
    <row r="6" spans="1:11" x14ac:dyDescent="0.25">
      <c r="A6" s="53" t="s">
        <v>147</v>
      </c>
      <c r="B6" s="9" t="s">
        <v>148</v>
      </c>
      <c r="C6" s="5" t="s">
        <v>149</v>
      </c>
      <c r="D6" s="5" t="s">
        <v>150</v>
      </c>
      <c r="E6" s="5" t="s">
        <v>151</v>
      </c>
      <c r="F6" s="22">
        <v>0.3</v>
      </c>
      <c r="G6" s="48">
        <f>$F6*'등급과 보급'!$D$6</f>
        <v>0.06</v>
      </c>
      <c r="H6" s="49">
        <f>$F6*'등급과 보급'!$D$7</f>
        <v>0.12</v>
      </c>
      <c r="I6" s="50">
        <f>$F6*'등급과 보급'!$D$8</f>
        <v>0.18</v>
      </c>
      <c r="J6" s="51">
        <f>$F6*'등급과 보급'!$D$9</f>
        <v>0.24</v>
      </c>
      <c r="K6" s="52">
        <f>$F6*'등급과 보급'!$D$10</f>
        <v>0.3</v>
      </c>
    </row>
    <row r="7" spans="1:11" x14ac:dyDescent="0.25">
      <c r="A7" s="53"/>
      <c r="B7" s="9" t="s">
        <v>152</v>
      </c>
      <c r="C7" s="5" t="s">
        <v>153</v>
      </c>
      <c r="D7" s="5" t="s">
        <v>154</v>
      </c>
      <c r="E7" s="5" t="s">
        <v>100</v>
      </c>
      <c r="F7" s="22">
        <v>0.6</v>
      </c>
      <c r="G7" s="48">
        <f>$F7*'등급과 보급'!$D$6</f>
        <v>0.12</v>
      </c>
      <c r="H7" s="49">
        <f>$F7*'등급과 보급'!$D$7</f>
        <v>0.24</v>
      </c>
      <c r="I7" s="50">
        <f>$F7*'등급과 보급'!$D$8</f>
        <v>0.36</v>
      </c>
      <c r="J7" s="51">
        <f>$F7*'등급과 보급'!$D$9</f>
        <v>0.48</v>
      </c>
      <c r="K7" s="52">
        <f>$F7*'등급과 보급'!$D$10</f>
        <v>0.6</v>
      </c>
    </row>
    <row r="8" spans="1:11" x14ac:dyDescent="0.25">
      <c r="A8" s="53"/>
      <c r="B8" s="9" t="s">
        <v>155</v>
      </c>
      <c r="C8" s="5" t="s">
        <v>156</v>
      </c>
      <c r="D8" s="5" t="s">
        <v>157</v>
      </c>
      <c r="E8" s="5" t="s">
        <v>104</v>
      </c>
      <c r="F8" s="22">
        <v>0.3</v>
      </c>
      <c r="G8" s="48">
        <f>$F8*'등급과 보급'!$D$6</f>
        <v>0.06</v>
      </c>
      <c r="H8" s="49">
        <f>$F8*'등급과 보급'!$D$7</f>
        <v>0.12</v>
      </c>
      <c r="I8" s="50">
        <f>$F8*'등급과 보급'!$D$8</f>
        <v>0.18</v>
      </c>
      <c r="J8" s="51">
        <f>$F8*'등급과 보급'!$D$9</f>
        <v>0.24</v>
      </c>
      <c r="K8" s="52">
        <f>$F8*'등급과 보급'!$D$10</f>
        <v>0.3</v>
      </c>
    </row>
    <row r="9" spans="1:11" x14ac:dyDescent="0.25">
      <c r="A9" s="53"/>
      <c r="B9" s="9" t="s">
        <v>158</v>
      </c>
      <c r="C9" s="5" t="s">
        <v>159</v>
      </c>
      <c r="D9" s="5" t="s">
        <v>160</v>
      </c>
      <c r="E9" s="5" t="s">
        <v>105</v>
      </c>
      <c r="F9" s="22">
        <v>0.5</v>
      </c>
      <c r="G9" s="48">
        <f>$F9*'등급과 보급'!$D$6</f>
        <v>0.1</v>
      </c>
      <c r="H9" s="49">
        <f>$F9*'등급과 보급'!$D$7</f>
        <v>0.2</v>
      </c>
      <c r="I9" s="50">
        <f>$F9*'등급과 보급'!$D$8</f>
        <v>0.3</v>
      </c>
      <c r="J9" s="51">
        <f>$F9*'등급과 보급'!$D$9</f>
        <v>0.4</v>
      </c>
      <c r="K9" s="52">
        <f>$F9*'등급과 보급'!$D$10</f>
        <v>0.5</v>
      </c>
    </row>
    <row r="10" spans="1:11" x14ac:dyDescent="0.25">
      <c r="A10" s="53"/>
      <c r="B10" s="9" t="s">
        <v>161</v>
      </c>
      <c r="C10" s="5" t="s">
        <v>162</v>
      </c>
      <c r="D10" s="5" t="s">
        <v>163</v>
      </c>
      <c r="E10" s="5" t="s">
        <v>164</v>
      </c>
      <c r="F10" s="22">
        <v>0.5</v>
      </c>
      <c r="G10" s="48">
        <f>$F10*'등급과 보급'!$D$6</f>
        <v>0.1</v>
      </c>
      <c r="H10" s="49">
        <f>$F10*'등급과 보급'!$D$7</f>
        <v>0.2</v>
      </c>
      <c r="I10" s="50">
        <f>$F10*'등급과 보급'!$D$8</f>
        <v>0.3</v>
      </c>
      <c r="J10" s="51">
        <f>$F10*'등급과 보급'!$D$9</f>
        <v>0.4</v>
      </c>
      <c r="K10" s="52">
        <f>$F10*'등급과 보급'!$D$10</f>
        <v>0.5</v>
      </c>
    </row>
    <row r="11" spans="1:11" x14ac:dyDescent="0.25">
      <c r="A11" s="53"/>
      <c r="B11" s="33" t="s">
        <v>165</v>
      </c>
      <c r="C11" s="61" t="s">
        <v>166</v>
      </c>
      <c r="D11" s="61" t="s">
        <v>167</v>
      </c>
      <c r="E11" s="5" t="s">
        <v>168</v>
      </c>
      <c r="F11" s="22">
        <v>2</v>
      </c>
      <c r="G11" s="48">
        <f>$F11*'등급과 보급'!$D$6</f>
        <v>0.4</v>
      </c>
      <c r="H11" s="49">
        <f>$F11*'등급과 보급'!$D$7</f>
        <v>0.8</v>
      </c>
      <c r="I11" s="50">
        <f>$F11*'등급과 보급'!$D$8</f>
        <v>1.2</v>
      </c>
      <c r="J11" s="51">
        <f>$F11*'등급과 보급'!$D$9</f>
        <v>1.6</v>
      </c>
      <c r="K11" s="52">
        <f>$F11*'등급과 보급'!$D$10</f>
        <v>2</v>
      </c>
    </row>
    <row r="12" spans="1:11" x14ac:dyDescent="0.25">
      <c r="A12" s="53"/>
      <c r="B12" s="33"/>
      <c r="C12" s="61"/>
      <c r="D12" s="61"/>
      <c r="E12" s="5" t="s">
        <v>169</v>
      </c>
      <c r="F12" s="22">
        <v>0.6</v>
      </c>
      <c r="G12" s="48">
        <f>$F12*'등급과 보급'!$D$6</f>
        <v>0.12</v>
      </c>
      <c r="H12" s="49">
        <f>$F12*'등급과 보급'!$D$7</f>
        <v>0.24</v>
      </c>
      <c r="I12" s="50">
        <f>$F12*'등급과 보급'!$D$8</f>
        <v>0.36</v>
      </c>
      <c r="J12" s="51">
        <f>$F12*'등급과 보급'!$D$9</f>
        <v>0.48</v>
      </c>
      <c r="K12" s="52">
        <f>$F12*'등급과 보급'!$D$10</f>
        <v>0.6</v>
      </c>
    </row>
    <row r="13" spans="1:11" x14ac:dyDescent="0.25">
      <c r="A13" s="53" t="s">
        <v>170</v>
      </c>
      <c r="B13" s="9" t="s">
        <v>148</v>
      </c>
      <c r="C13" s="5" t="s">
        <v>171</v>
      </c>
      <c r="D13" s="5" t="s">
        <v>172</v>
      </c>
      <c r="E13" s="5" t="s">
        <v>99</v>
      </c>
      <c r="F13" s="21">
        <v>-0.3</v>
      </c>
      <c r="G13" s="42">
        <f>$F13*'등급과 보급'!$D$6</f>
        <v>-0.06</v>
      </c>
      <c r="H13" s="43">
        <f>$F13*'등급과 보급'!$D$7</f>
        <v>-0.12</v>
      </c>
      <c r="I13" s="44">
        <f>$F13*'등급과 보급'!$D$8</f>
        <v>-0.18</v>
      </c>
      <c r="J13" s="45">
        <f>$F13*'등급과 보급'!$D$9</f>
        <v>-0.24</v>
      </c>
      <c r="K13" s="46">
        <f>$F13*'등급과 보급'!$D$10</f>
        <v>-0.3</v>
      </c>
    </row>
    <row r="14" spans="1:11" x14ac:dyDescent="0.25">
      <c r="A14" s="53"/>
      <c r="B14" s="9" t="s">
        <v>152</v>
      </c>
      <c r="C14" s="5" t="s">
        <v>173</v>
      </c>
      <c r="D14" s="5" t="s">
        <v>174</v>
      </c>
      <c r="E14" s="5" t="s">
        <v>100</v>
      </c>
      <c r="F14" s="22">
        <v>0.8</v>
      </c>
      <c r="G14" s="48">
        <f>$F14*'등급과 보급'!$D$6</f>
        <v>0.16000000000000003</v>
      </c>
      <c r="H14" s="49">
        <f>$F14*'등급과 보급'!$D$7</f>
        <v>0.32000000000000006</v>
      </c>
      <c r="I14" s="50">
        <f>$F14*'등급과 보급'!$D$8</f>
        <v>0.48</v>
      </c>
      <c r="J14" s="51">
        <f>$F14*'등급과 보급'!$D$9</f>
        <v>0.64000000000000012</v>
      </c>
      <c r="K14" s="52">
        <f>$F14*'등급과 보급'!$D$10</f>
        <v>0.8</v>
      </c>
    </row>
    <row r="15" spans="1:11" x14ac:dyDescent="0.25">
      <c r="A15" s="53"/>
      <c r="B15" s="9" t="s">
        <v>155</v>
      </c>
      <c r="C15" s="5" t="s">
        <v>175</v>
      </c>
      <c r="D15" s="5" t="s">
        <v>176</v>
      </c>
      <c r="E15" s="5" t="s">
        <v>104</v>
      </c>
      <c r="F15" s="22">
        <v>0.3</v>
      </c>
      <c r="G15" s="48">
        <f>$F15*'등급과 보급'!$D$6</f>
        <v>0.06</v>
      </c>
      <c r="H15" s="49">
        <f>$F15*'등급과 보급'!$D$7</f>
        <v>0.12</v>
      </c>
      <c r="I15" s="50">
        <f>$F15*'등급과 보급'!$D$8</f>
        <v>0.18</v>
      </c>
      <c r="J15" s="51">
        <f>$F15*'등급과 보급'!$D$9</f>
        <v>0.24</v>
      </c>
      <c r="K15" s="52">
        <f>$F15*'등급과 보급'!$D$10</f>
        <v>0.3</v>
      </c>
    </row>
    <row r="16" spans="1:11" x14ac:dyDescent="0.25">
      <c r="A16" s="53"/>
      <c r="B16" s="9" t="s">
        <v>158</v>
      </c>
      <c r="C16" s="5" t="s">
        <v>177</v>
      </c>
      <c r="D16" s="5" t="s">
        <v>178</v>
      </c>
      <c r="E16" s="5" t="s">
        <v>168</v>
      </c>
      <c r="F16" s="22">
        <v>1</v>
      </c>
      <c r="G16" s="48">
        <f>$F16*'등급과 보급'!$D$6</f>
        <v>0.2</v>
      </c>
      <c r="H16" s="49">
        <f>$F16*'등급과 보급'!$D$7</f>
        <v>0.4</v>
      </c>
      <c r="I16" s="50">
        <f>$F16*'등급과 보급'!$D$8</f>
        <v>0.6</v>
      </c>
      <c r="J16" s="51">
        <f>$F16*'등급과 보급'!$D$9</f>
        <v>0.8</v>
      </c>
      <c r="K16" s="52">
        <f>$F16*'등급과 보급'!$D$10</f>
        <v>1</v>
      </c>
    </row>
    <row r="17" spans="1:11" x14ac:dyDescent="0.25">
      <c r="A17" s="53"/>
      <c r="B17" s="9" t="s">
        <v>161</v>
      </c>
      <c r="C17" s="5" t="s">
        <v>179</v>
      </c>
      <c r="D17" s="5" t="s">
        <v>180</v>
      </c>
      <c r="E17" s="5" t="s">
        <v>101</v>
      </c>
      <c r="F17" s="22">
        <v>0.03</v>
      </c>
      <c r="G17" s="48">
        <f>$F17*'등급과 보급'!$D$6</f>
        <v>6.0000000000000001E-3</v>
      </c>
      <c r="H17" s="49">
        <f>$F17*'등급과 보급'!$D$7</f>
        <v>1.2E-2</v>
      </c>
      <c r="I17" s="50">
        <f>$F17*'등급과 보급'!$D$8</f>
        <v>1.7999999999999999E-2</v>
      </c>
      <c r="J17" s="51">
        <f>$F17*'등급과 보급'!$D$9</f>
        <v>2.4E-2</v>
      </c>
      <c r="K17" s="52">
        <f>$F17*'등급과 보급'!$D$10</f>
        <v>0.03</v>
      </c>
    </row>
    <row r="18" spans="1:11" x14ac:dyDescent="0.25">
      <c r="A18" s="53"/>
      <c r="B18" s="33" t="s">
        <v>165</v>
      </c>
      <c r="C18" s="61" t="s">
        <v>181</v>
      </c>
      <c r="D18" s="61" t="s">
        <v>182</v>
      </c>
      <c r="E18" s="5" t="s">
        <v>168</v>
      </c>
      <c r="F18" s="22">
        <v>2</v>
      </c>
      <c r="G18" s="48">
        <f>$F18*'등급과 보급'!$D$6</f>
        <v>0.4</v>
      </c>
      <c r="H18" s="49">
        <f>$F18*'등급과 보급'!$D$7</f>
        <v>0.8</v>
      </c>
      <c r="I18" s="50">
        <f>$F18*'등급과 보급'!$D$8</f>
        <v>1.2</v>
      </c>
      <c r="J18" s="51">
        <f>$F18*'등급과 보급'!$D$9</f>
        <v>1.6</v>
      </c>
      <c r="K18" s="52">
        <f>$F18*'등급과 보급'!$D$10</f>
        <v>2</v>
      </c>
    </row>
    <row r="19" spans="1:11" x14ac:dyDescent="0.25">
      <c r="A19" s="53"/>
      <c r="B19" s="33"/>
      <c r="C19" s="61"/>
      <c r="D19" s="61"/>
      <c r="E19" s="5" t="s">
        <v>183</v>
      </c>
      <c r="F19" s="22">
        <v>0.6</v>
      </c>
      <c r="G19" s="48">
        <f>$F19*'등급과 보급'!$D$6</f>
        <v>0.12</v>
      </c>
      <c r="H19" s="49">
        <f>$F19*'등급과 보급'!$D$7</f>
        <v>0.24</v>
      </c>
      <c r="I19" s="50">
        <f>$F19*'등급과 보급'!$D$8</f>
        <v>0.36</v>
      </c>
      <c r="J19" s="51">
        <f>$F19*'등급과 보급'!$D$9</f>
        <v>0.48</v>
      </c>
      <c r="K19" s="52">
        <f>$F19*'등급과 보급'!$D$10</f>
        <v>0.6</v>
      </c>
    </row>
    <row r="20" spans="1:11" x14ac:dyDescent="0.25">
      <c r="A20" s="3" t="s">
        <v>184</v>
      </c>
    </row>
    <row r="22" spans="1:11" ht="17.25" x14ac:dyDescent="0.25">
      <c r="A22" s="8" t="s">
        <v>185</v>
      </c>
    </row>
    <row r="23" spans="1:11" x14ac:dyDescent="0.25">
      <c r="A23" s="32" t="s">
        <v>143</v>
      </c>
      <c r="B23" s="32" t="s">
        <v>144</v>
      </c>
      <c r="C23" s="32" t="s">
        <v>186</v>
      </c>
      <c r="D23" s="54" t="s">
        <v>19</v>
      </c>
      <c r="E23" s="54"/>
      <c r="F23" s="55" t="s">
        <v>21</v>
      </c>
      <c r="G23" s="55"/>
      <c r="H23" s="55"/>
      <c r="I23" s="56" t="s">
        <v>118</v>
      </c>
      <c r="J23" s="56"/>
      <c r="K23" s="56"/>
    </row>
    <row r="24" spans="1:11" ht="33.950000000000003" customHeight="1" x14ac:dyDescent="0.25">
      <c r="A24" s="9" t="s">
        <v>147</v>
      </c>
      <c r="B24" s="9" t="s">
        <v>148</v>
      </c>
      <c r="C24" s="10" t="s">
        <v>187</v>
      </c>
      <c r="D24" s="57" t="s">
        <v>188</v>
      </c>
      <c r="E24" s="57"/>
      <c r="F24" s="58" t="s">
        <v>189</v>
      </c>
      <c r="G24" s="58"/>
      <c r="H24" s="58"/>
      <c r="I24" s="59" t="s">
        <v>190</v>
      </c>
      <c r="J24" s="59"/>
      <c r="K24" s="59"/>
    </row>
    <row r="25" spans="1:11" ht="33.950000000000003" customHeight="1" x14ac:dyDescent="0.25">
      <c r="A25" s="9" t="s">
        <v>147</v>
      </c>
      <c r="B25" s="9" t="s">
        <v>152</v>
      </c>
      <c r="C25" s="10" t="s">
        <v>191</v>
      </c>
      <c r="D25" s="57" t="s">
        <v>192</v>
      </c>
      <c r="E25" s="57"/>
      <c r="F25" s="58" t="s">
        <v>193</v>
      </c>
      <c r="G25" s="58"/>
      <c r="H25" s="58"/>
      <c r="I25" s="59" t="s">
        <v>194</v>
      </c>
      <c r="J25" s="59"/>
      <c r="K25" s="59"/>
    </row>
    <row r="26" spans="1:11" ht="33.950000000000003" customHeight="1" x14ac:dyDescent="0.25">
      <c r="A26" s="9" t="s">
        <v>147</v>
      </c>
      <c r="B26" s="9" t="s">
        <v>155</v>
      </c>
      <c r="C26" s="10" t="s">
        <v>195</v>
      </c>
      <c r="D26" s="57" t="s">
        <v>196</v>
      </c>
      <c r="E26" s="57"/>
      <c r="F26" s="58" t="s">
        <v>197</v>
      </c>
      <c r="G26" s="58"/>
      <c r="H26" s="58"/>
      <c r="I26" s="59" t="s">
        <v>198</v>
      </c>
      <c r="J26" s="59"/>
      <c r="K26" s="59"/>
    </row>
    <row r="27" spans="1:11" ht="33.950000000000003" customHeight="1" x14ac:dyDescent="0.25">
      <c r="A27" s="9" t="s">
        <v>147</v>
      </c>
      <c r="B27" s="9" t="s">
        <v>158</v>
      </c>
      <c r="C27" s="10" t="s">
        <v>199</v>
      </c>
      <c r="D27" s="57" t="s">
        <v>200</v>
      </c>
      <c r="E27" s="57"/>
      <c r="F27" s="58" t="s">
        <v>201</v>
      </c>
      <c r="G27" s="58"/>
      <c r="H27" s="58"/>
      <c r="I27" s="59" t="s">
        <v>202</v>
      </c>
      <c r="J27" s="59"/>
      <c r="K27" s="59"/>
    </row>
    <row r="28" spans="1:11" ht="33.950000000000003" customHeight="1" x14ac:dyDescent="0.25">
      <c r="A28" s="9" t="s">
        <v>147</v>
      </c>
      <c r="B28" s="9" t="s">
        <v>161</v>
      </c>
      <c r="C28" s="10" t="s">
        <v>203</v>
      </c>
      <c r="D28" s="57" t="s">
        <v>204</v>
      </c>
      <c r="E28" s="57"/>
      <c r="F28" s="58" t="s">
        <v>205</v>
      </c>
      <c r="G28" s="58"/>
      <c r="H28" s="58"/>
      <c r="I28" s="59" t="s">
        <v>206</v>
      </c>
      <c r="J28" s="59"/>
      <c r="K28" s="59"/>
    </row>
    <row r="29" spans="1:11" ht="33.950000000000003" customHeight="1" x14ac:dyDescent="0.25">
      <c r="A29" s="9" t="s">
        <v>147</v>
      </c>
      <c r="B29" s="9" t="s">
        <v>165</v>
      </c>
      <c r="C29" s="10" t="s">
        <v>207</v>
      </c>
      <c r="D29" s="57" t="s">
        <v>208</v>
      </c>
      <c r="E29" s="57"/>
      <c r="F29" s="58" t="s">
        <v>209</v>
      </c>
      <c r="G29" s="58"/>
      <c r="H29" s="58"/>
      <c r="I29" s="59" t="s">
        <v>210</v>
      </c>
      <c r="J29" s="59"/>
      <c r="K29" s="59"/>
    </row>
    <row r="30" spans="1:11" ht="33.950000000000003" customHeight="1" x14ac:dyDescent="0.25">
      <c r="A30" s="9" t="s">
        <v>170</v>
      </c>
      <c r="B30" s="9" t="s">
        <v>148</v>
      </c>
      <c r="C30" s="10" t="s">
        <v>211</v>
      </c>
      <c r="D30" s="57" t="s">
        <v>212</v>
      </c>
      <c r="E30" s="57"/>
      <c r="F30" s="58" t="s">
        <v>125</v>
      </c>
      <c r="G30" s="58"/>
      <c r="H30" s="58"/>
      <c r="I30" s="59" t="s">
        <v>213</v>
      </c>
      <c r="J30" s="59"/>
      <c r="K30" s="59"/>
    </row>
    <row r="31" spans="1:11" ht="33.950000000000003" customHeight="1" x14ac:dyDescent="0.25">
      <c r="A31" s="9" t="s">
        <v>170</v>
      </c>
      <c r="B31" s="9" t="s">
        <v>152</v>
      </c>
      <c r="C31" s="10" t="s">
        <v>214</v>
      </c>
      <c r="D31" s="57" t="s">
        <v>215</v>
      </c>
      <c r="E31" s="57"/>
      <c r="F31" s="58" t="s">
        <v>216</v>
      </c>
      <c r="G31" s="58"/>
      <c r="H31" s="58"/>
      <c r="I31" s="59" t="s">
        <v>217</v>
      </c>
      <c r="J31" s="59"/>
      <c r="K31" s="59"/>
    </row>
    <row r="32" spans="1:11" ht="33.950000000000003" customHeight="1" x14ac:dyDescent="0.25">
      <c r="A32" s="9" t="s">
        <v>170</v>
      </c>
      <c r="B32" s="9" t="s">
        <v>155</v>
      </c>
      <c r="C32" s="10" t="s">
        <v>218</v>
      </c>
      <c r="D32" s="57" t="s">
        <v>219</v>
      </c>
      <c r="E32" s="57"/>
      <c r="F32" s="58" t="s">
        <v>220</v>
      </c>
      <c r="G32" s="58"/>
      <c r="H32" s="58"/>
      <c r="I32" s="59" t="s">
        <v>221</v>
      </c>
      <c r="J32" s="59"/>
      <c r="K32" s="59"/>
    </row>
    <row r="33" spans="1:11" ht="33.950000000000003" customHeight="1" x14ac:dyDescent="0.25">
      <c r="A33" s="9" t="s">
        <v>170</v>
      </c>
      <c r="B33" s="9" t="s">
        <v>158</v>
      </c>
      <c r="C33" s="10" t="s">
        <v>222</v>
      </c>
      <c r="D33" s="57" t="s">
        <v>223</v>
      </c>
      <c r="E33" s="57"/>
      <c r="F33" s="58" t="s">
        <v>224</v>
      </c>
      <c r="G33" s="58"/>
      <c r="H33" s="58"/>
      <c r="I33" s="59" t="s">
        <v>225</v>
      </c>
      <c r="J33" s="59"/>
      <c r="K33" s="59"/>
    </row>
    <row r="34" spans="1:11" ht="33.950000000000003" customHeight="1" x14ac:dyDescent="0.25">
      <c r="A34" s="9" t="s">
        <v>170</v>
      </c>
      <c r="B34" s="9" t="s">
        <v>161</v>
      </c>
      <c r="C34" s="10" t="s">
        <v>226</v>
      </c>
      <c r="D34" s="57" t="s">
        <v>227</v>
      </c>
      <c r="E34" s="57"/>
      <c r="F34" s="58" t="s">
        <v>228</v>
      </c>
      <c r="G34" s="58"/>
      <c r="H34" s="58"/>
      <c r="I34" s="59" t="s">
        <v>229</v>
      </c>
      <c r="J34" s="59"/>
      <c r="K34" s="59"/>
    </row>
    <row r="35" spans="1:11" ht="33.950000000000003" customHeight="1" x14ac:dyDescent="0.25">
      <c r="A35" s="9" t="s">
        <v>170</v>
      </c>
      <c r="B35" s="9" t="s">
        <v>165</v>
      </c>
      <c r="C35" s="10" t="s">
        <v>230</v>
      </c>
      <c r="D35" s="57" t="s">
        <v>231</v>
      </c>
      <c r="E35" s="57"/>
      <c r="F35" s="58" t="s">
        <v>232</v>
      </c>
      <c r="G35" s="58"/>
      <c r="H35" s="58"/>
      <c r="I35" s="59" t="s">
        <v>233</v>
      </c>
      <c r="J35" s="59"/>
      <c r="K35" s="59"/>
    </row>
    <row r="37" spans="1:11" ht="17.25" x14ac:dyDescent="0.25">
      <c r="A37" s="8" t="s">
        <v>234</v>
      </c>
    </row>
    <row r="38" spans="1:11" x14ac:dyDescent="0.25">
      <c r="A38" s="35" t="s">
        <v>143</v>
      </c>
      <c r="B38" s="35"/>
      <c r="C38" s="35" t="s">
        <v>235</v>
      </c>
      <c r="D38" s="35"/>
      <c r="E38" s="35"/>
      <c r="F38" s="35" t="s">
        <v>236</v>
      </c>
      <c r="G38" s="35"/>
      <c r="H38" s="35"/>
      <c r="I38" s="35" t="s">
        <v>237</v>
      </c>
      <c r="J38" s="35"/>
      <c r="K38" s="35"/>
    </row>
    <row r="39" spans="1:11" ht="33.950000000000003" customHeight="1" x14ac:dyDescent="0.25">
      <c r="A39" s="53" t="s">
        <v>238</v>
      </c>
      <c r="B39" s="53"/>
      <c r="C39" s="34" t="s">
        <v>239</v>
      </c>
      <c r="D39" s="34"/>
      <c r="E39" s="34"/>
      <c r="F39" s="34" t="s">
        <v>240</v>
      </c>
      <c r="G39" s="34"/>
      <c r="H39" s="34"/>
      <c r="I39" s="34" t="s">
        <v>241</v>
      </c>
      <c r="J39" s="34"/>
      <c r="K39" s="34"/>
    </row>
    <row r="40" spans="1:11" ht="33.950000000000003" customHeight="1" x14ac:dyDescent="0.25">
      <c r="A40" s="53" t="s">
        <v>242</v>
      </c>
      <c r="B40" s="53"/>
      <c r="C40" s="34" t="s">
        <v>243</v>
      </c>
      <c r="D40" s="34"/>
      <c r="E40" s="34"/>
      <c r="F40" s="34" t="s">
        <v>244</v>
      </c>
      <c r="G40" s="34"/>
      <c r="H40" s="34"/>
      <c r="I40" s="34" t="s">
        <v>245</v>
      </c>
      <c r="J40" s="34"/>
      <c r="K40" s="34"/>
    </row>
    <row r="42" spans="1:11" ht="17.25" x14ac:dyDescent="0.25">
      <c r="A42" s="8" t="s">
        <v>246</v>
      </c>
    </row>
    <row r="43" spans="1:11" ht="30" customHeight="1" x14ac:dyDescent="0.25">
      <c r="A43" s="60" t="s">
        <v>247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</row>
    <row r="44" spans="1:11" ht="18" customHeight="1" x14ac:dyDescent="0.25">
      <c r="A44" s="60" t="s">
        <v>248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</row>
    <row r="45" spans="1:11" ht="30" customHeight="1" x14ac:dyDescent="0.25">
      <c r="A45" s="60" t="s">
        <v>249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</row>
    <row r="46" spans="1:11" ht="18" customHeight="1" x14ac:dyDescent="0.25">
      <c r="A46" s="60" t="s">
        <v>250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</row>
  </sheetData>
  <mergeCells count="63">
    <mergeCell ref="A43:K43"/>
    <mergeCell ref="A44:K44"/>
    <mergeCell ref="A45:K45"/>
    <mergeCell ref="A46:K46"/>
    <mergeCell ref="A39:B39"/>
    <mergeCell ref="C39:E39"/>
    <mergeCell ref="F39:H39"/>
    <mergeCell ref="I39:K39"/>
    <mergeCell ref="A40:B40"/>
    <mergeCell ref="C40:E40"/>
    <mergeCell ref="F40:H40"/>
    <mergeCell ref="I40:K40"/>
    <mergeCell ref="D35:E35"/>
    <mergeCell ref="F35:H35"/>
    <mergeCell ref="I35:K35"/>
    <mergeCell ref="A38:B38"/>
    <mergeCell ref="C38:E38"/>
    <mergeCell ref="F38:H38"/>
    <mergeCell ref="I38:K38"/>
    <mergeCell ref="D33:E33"/>
    <mergeCell ref="F33:H33"/>
    <mergeCell ref="I33:K33"/>
    <mergeCell ref="D34:E34"/>
    <mergeCell ref="F34:H34"/>
    <mergeCell ref="I34:K34"/>
    <mergeCell ref="D31:E31"/>
    <mergeCell ref="F31:H31"/>
    <mergeCell ref="I31:K31"/>
    <mergeCell ref="D32:E32"/>
    <mergeCell ref="F32:H32"/>
    <mergeCell ref="I32:K32"/>
    <mergeCell ref="D29:E29"/>
    <mergeCell ref="F29:H29"/>
    <mergeCell ref="I29:K29"/>
    <mergeCell ref="D30:E30"/>
    <mergeCell ref="F30:H30"/>
    <mergeCell ref="I30:K30"/>
    <mergeCell ref="D27:E27"/>
    <mergeCell ref="F27:H27"/>
    <mergeCell ref="I27:K27"/>
    <mergeCell ref="D28:E28"/>
    <mergeCell ref="F28:H28"/>
    <mergeCell ref="I28:K28"/>
    <mergeCell ref="D25:E25"/>
    <mergeCell ref="F25:H25"/>
    <mergeCell ref="I25:K25"/>
    <mergeCell ref="D26:E26"/>
    <mergeCell ref="F26:H26"/>
    <mergeCell ref="I26:K26"/>
    <mergeCell ref="D23:E23"/>
    <mergeCell ref="F23:H23"/>
    <mergeCell ref="I23:K23"/>
    <mergeCell ref="D24:E24"/>
    <mergeCell ref="F24:H24"/>
    <mergeCell ref="I24:K24"/>
    <mergeCell ref="B11:B12"/>
    <mergeCell ref="C11:C12"/>
    <mergeCell ref="D11:D12"/>
    <mergeCell ref="A6:A12"/>
    <mergeCell ref="B18:B19"/>
    <mergeCell ref="C18:C19"/>
    <mergeCell ref="D18:D19"/>
    <mergeCell ref="A13:A19"/>
  </mergeCells>
  <phoneticPr fontId="8" type="noConversion"/>
  <pageMargins left="0.7" right="0.7" top="0.75" bottom="0.75" header="0.3" footer="0.3"/>
  <pageSetup paperSize="9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AF58-56E6-488B-8E6E-A4FF2B6BDE3C}">
  <sheetPr>
    <tabColor rgb="FF7030A0"/>
    <pageSetUpPr fitToPage="1"/>
  </sheetPr>
  <dimension ref="A1:I115"/>
  <sheetViews>
    <sheetView showGridLines="0" zoomScaleNormal="100" workbookViewId="0"/>
  </sheetViews>
  <sheetFormatPr defaultRowHeight="13.5" x14ac:dyDescent="0.25"/>
  <cols>
    <col min="1" max="1" width="33.7109375" style="1" customWidth="1"/>
    <col min="2" max="2" width="14.7109375" style="1" customWidth="1"/>
    <col min="3" max="4" width="12.7109375" style="1" customWidth="1"/>
    <col min="5" max="5" width="14.7109375" style="1" customWidth="1"/>
    <col min="6" max="7" width="18.7109375" style="1" customWidth="1"/>
    <col min="8" max="8" width="16.7109375" style="1" customWidth="1"/>
    <col min="9" max="9" width="18.7109375" style="1" customWidth="1"/>
    <col min="10" max="16384" width="9.140625" style="1"/>
  </cols>
  <sheetData>
    <row r="1" spans="1:9" ht="26.25" x14ac:dyDescent="0.25">
      <c r="A1" s="2" t="s">
        <v>251</v>
      </c>
    </row>
    <row r="2" spans="1:9" x14ac:dyDescent="0.25">
      <c r="A2" s="3" t="s">
        <v>252</v>
      </c>
    </row>
    <row r="4" spans="1:9" ht="17.25" x14ac:dyDescent="0.25">
      <c r="A4" s="8" t="s">
        <v>253</v>
      </c>
      <c r="D4" s="8" t="s">
        <v>260</v>
      </c>
    </row>
    <row r="5" spans="1:9" x14ac:dyDescent="0.25">
      <c r="A5" s="5" t="s">
        <v>254</v>
      </c>
      <c r="B5" s="21">
        <v>0.03</v>
      </c>
      <c r="D5" s="65" t="s">
        <v>261</v>
      </c>
      <c r="E5" s="65" t="s">
        <v>262</v>
      </c>
      <c r="F5" s="65" t="s">
        <v>263</v>
      </c>
      <c r="G5" s="65" t="s">
        <v>104</v>
      </c>
      <c r="H5" s="65" t="s">
        <v>264</v>
      </c>
      <c r="I5" s="65" t="s">
        <v>265</v>
      </c>
    </row>
    <row r="6" spans="1:9" x14ac:dyDescent="0.25">
      <c r="A6" s="5" t="s">
        <v>255</v>
      </c>
      <c r="B6" s="62">
        <v>5.0000000000000001E-3</v>
      </c>
      <c r="D6" s="66">
        <v>10</v>
      </c>
      <c r="E6" s="67">
        <f>B25</f>
        <v>0.27</v>
      </c>
      <c r="F6" s="67">
        <f>C25</f>
        <v>0.27</v>
      </c>
      <c r="G6" s="47">
        <f>D25</f>
        <v>4.4999999999999998E-2</v>
      </c>
      <c r="H6" s="68">
        <f>F25</f>
        <v>882</v>
      </c>
      <c r="I6" s="68">
        <f>G25</f>
        <v>2646</v>
      </c>
    </row>
    <row r="7" spans="1:9" x14ac:dyDescent="0.25">
      <c r="A7" s="5" t="s">
        <v>256</v>
      </c>
      <c r="B7" s="62">
        <v>1E-3</v>
      </c>
      <c r="D7" s="69">
        <v>15</v>
      </c>
      <c r="E7" s="67">
        <f>B30</f>
        <v>0.42</v>
      </c>
      <c r="F7" s="67">
        <f>C30</f>
        <v>0.42</v>
      </c>
      <c r="G7" s="47">
        <f>D30</f>
        <v>7.0000000000000007E-2</v>
      </c>
      <c r="H7" s="68">
        <f>F30</f>
        <v>1792</v>
      </c>
      <c r="I7" s="68">
        <f>G30</f>
        <v>5376</v>
      </c>
    </row>
    <row r="8" spans="1:9" x14ac:dyDescent="0.25">
      <c r="A8" s="5" t="s">
        <v>257</v>
      </c>
      <c r="B8" s="63">
        <v>50</v>
      </c>
      <c r="D8" s="69">
        <v>20</v>
      </c>
      <c r="E8" s="67">
        <f>B35</f>
        <v>0.56999999999999995</v>
      </c>
      <c r="F8" s="67">
        <f>C35</f>
        <v>0.56999999999999995</v>
      </c>
      <c r="G8" s="47">
        <f>D35</f>
        <v>9.5000000000000001E-2</v>
      </c>
      <c r="H8" s="68">
        <f>F35</f>
        <v>3002</v>
      </c>
      <c r="I8" s="68">
        <f>G35</f>
        <v>9006</v>
      </c>
    </row>
    <row r="9" spans="1:9" x14ac:dyDescent="0.25">
      <c r="A9" s="5" t="s">
        <v>258</v>
      </c>
      <c r="B9" s="63">
        <v>12</v>
      </c>
      <c r="D9" s="70">
        <v>40</v>
      </c>
      <c r="E9" s="67">
        <f>B55</f>
        <v>1.17</v>
      </c>
      <c r="F9" s="67">
        <f>C55</f>
        <v>1.17</v>
      </c>
      <c r="G9" s="47">
        <f>D55</f>
        <v>0.159</v>
      </c>
      <c r="H9" s="68">
        <f>F55</f>
        <v>10842</v>
      </c>
      <c r="I9" s="68">
        <f>G55</f>
        <v>32526</v>
      </c>
    </row>
    <row r="10" spans="1:9" x14ac:dyDescent="0.25">
      <c r="A10" s="5" t="s">
        <v>259</v>
      </c>
      <c r="B10" s="64">
        <v>100</v>
      </c>
      <c r="D10" s="66">
        <v>60</v>
      </c>
      <c r="E10" s="67">
        <f>B75</f>
        <v>1.77</v>
      </c>
      <c r="F10" s="67">
        <f>C75</f>
        <v>1.77</v>
      </c>
      <c r="G10" s="47">
        <f>D75</f>
        <v>0.17899999999999999</v>
      </c>
      <c r="H10" s="68">
        <f>F75</f>
        <v>23482</v>
      </c>
      <c r="I10" s="68">
        <f>G75</f>
        <v>70446</v>
      </c>
    </row>
    <row r="11" spans="1:9" x14ac:dyDescent="0.25">
      <c r="D11" s="66">
        <v>100</v>
      </c>
      <c r="E11" s="67">
        <f>B115</f>
        <v>2.9699999999999998</v>
      </c>
      <c r="F11" s="67">
        <f>C115</f>
        <v>2.9699999999999998</v>
      </c>
      <c r="G11" s="47">
        <f>D115</f>
        <v>0.219</v>
      </c>
      <c r="H11" s="68">
        <f>F115</f>
        <v>63162</v>
      </c>
      <c r="I11" s="68">
        <f>G115</f>
        <v>189486</v>
      </c>
    </row>
    <row r="12" spans="1:9" x14ac:dyDescent="0.25">
      <c r="D12" s="3" t="s">
        <v>266</v>
      </c>
    </row>
    <row r="15" spans="1:9" ht="32.1" customHeight="1" x14ac:dyDescent="0.25">
      <c r="A15" s="65" t="s">
        <v>261</v>
      </c>
      <c r="B15" s="65" t="s">
        <v>262</v>
      </c>
      <c r="C15" s="65" t="s">
        <v>263</v>
      </c>
      <c r="D15" s="65" t="s">
        <v>104</v>
      </c>
      <c r="E15" s="65" t="s">
        <v>267</v>
      </c>
      <c r="F15" s="65" t="s">
        <v>268</v>
      </c>
      <c r="G15" s="65" t="s">
        <v>269</v>
      </c>
    </row>
    <row r="16" spans="1:9" x14ac:dyDescent="0.25">
      <c r="A16" s="71">
        <v>1</v>
      </c>
      <c r="B16" s="67">
        <f>($A16-1)*$B$5</f>
        <v>0</v>
      </c>
      <c r="C16" s="67">
        <f>($A16-1)*$B$5</f>
        <v>0</v>
      </c>
      <c r="D16" s="47">
        <f>MIN(($A16-1)*$B$6,30*$B$6)+MAX(0,$A16-31)*$B$7</f>
        <v>0</v>
      </c>
      <c r="E16" s="68">
        <f>IF($A16&gt;=$B$10,"최대",$B$8+$B$9*($A16-1))</f>
        <v>50</v>
      </c>
      <c r="F16" s="68">
        <v>0</v>
      </c>
      <c r="G16" s="68">
        <f>F16*3</f>
        <v>0</v>
      </c>
    </row>
    <row r="17" spans="1:7" x14ac:dyDescent="0.25">
      <c r="A17" s="71">
        <v>2</v>
      </c>
      <c r="B17" s="67">
        <f>($A17-1)*$B$5</f>
        <v>0.03</v>
      </c>
      <c r="C17" s="67">
        <f>($A17-1)*$B$5</f>
        <v>0.03</v>
      </c>
      <c r="D17" s="47">
        <f>MIN(($A17-1)*$B$6,30*$B$6)+MAX(0,$A17-31)*$B$7</f>
        <v>5.0000000000000001E-3</v>
      </c>
      <c r="E17" s="68">
        <f>IF($A17&gt;=$B$10,"최대",$B$8+$B$9*($A17-1))</f>
        <v>62</v>
      </c>
      <c r="F17" s="68">
        <f>F16+E16</f>
        <v>50</v>
      </c>
      <c r="G17" s="68">
        <f>F17*3</f>
        <v>150</v>
      </c>
    </row>
    <row r="18" spans="1:7" x14ac:dyDescent="0.25">
      <c r="A18" s="71">
        <v>3</v>
      </c>
      <c r="B18" s="67">
        <f>($A18-1)*$B$5</f>
        <v>0.06</v>
      </c>
      <c r="C18" s="67">
        <f>($A18-1)*$B$5</f>
        <v>0.06</v>
      </c>
      <c r="D18" s="47">
        <f>MIN(($A18-1)*$B$6,30*$B$6)+MAX(0,$A18-31)*$B$7</f>
        <v>0.01</v>
      </c>
      <c r="E18" s="68">
        <f>IF($A18&gt;=$B$10,"최대",$B$8+$B$9*($A18-1))</f>
        <v>74</v>
      </c>
      <c r="F18" s="68">
        <f>F17+E17</f>
        <v>112</v>
      </c>
      <c r="G18" s="68">
        <f>F18*3</f>
        <v>336</v>
      </c>
    </row>
    <row r="19" spans="1:7" x14ac:dyDescent="0.25">
      <c r="A19" s="71">
        <v>4</v>
      </c>
      <c r="B19" s="67">
        <f>($A19-1)*$B$5</f>
        <v>0.09</v>
      </c>
      <c r="C19" s="67">
        <f>($A19-1)*$B$5</f>
        <v>0.09</v>
      </c>
      <c r="D19" s="47">
        <f>MIN(($A19-1)*$B$6,30*$B$6)+MAX(0,$A19-31)*$B$7</f>
        <v>1.4999999999999999E-2</v>
      </c>
      <c r="E19" s="68">
        <f>IF($A19&gt;=$B$10,"최대",$B$8+$B$9*($A19-1))</f>
        <v>86</v>
      </c>
      <c r="F19" s="68">
        <f>F18+E18</f>
        <v>186</v>
      </c>
      <c r="G19" s="68">
        <f>F19*3</f>
        <v>558</v>
      </c>
    </row>
    <row r="20" spans="1:7" x14ac:dyDescent="0.25">
      <c r="A20" s="71">
        <v>5</v>
      </c>
      <c r="B20" s="67">
        <f>($A20-1)*$B$5</f>
        <v>0.12</v>
      </c>
      <c r="C20" s="67">
        <f>($A20-1)*$B$5</f>
        <v>0.12</v>
      </c>
      <c r="D20" s="47">
        <f>MIN(($A20-1)*$B$6,30*$B$6)+MAX(0,$A20-31)*$B$7</f>
        <v>0.02</v>
      </c>
      <c r="E20" s="68">
        <f>IF($A20&gt;=$B$10,"최대",$B$8+$B$9*($A20-1))</f>
        <v>98</v>
      </c>
      <c r="F20" s="68">
        <f>F19+E19</f>
        <v>272</v>
      </c>
      <c r="G20" s="68">
        <f>F20*3</f>
        <v>816</v>
      </c>
    </row>
    <row r="21" spans="1:7" x14ac:dyDescent="0.25">
      <c r="A21" s="71">
        <v>6</v>
      </c>
      <c r="B21" s="67">
        <f>($A21-1)*$B$5</f>
        <v>0.15</v>
      </c>
      <c r="C21" s="67">
        <f>($A21-1)*$B$5</f>
        <v>0.15</v>
      </c>
      <c r="D21" s="47">
        <f>MIN(($A21-1)*$B$6,30*$B$6)+MAX(0,$A21-31)*$B$7</f>
        <v>2.5000000000000001E-2</v>
      </c>
      <c r="E21" s="68">
        <f>IF($A21&gt;=$B$10,"최대",$B$8+$B$9*($A21-1))</f>
        <v>110</v>
      </c>
      <c r="F21" s="68">
        <f>F20+E20</f>
        <v>370</v>
      </c>
      <c r="G21" s="68">
        <f>F21*3</f>
        <v>1110</v>
      </c>
    </row>
    <row r="22" spans="1:7" x14ac:dyDescent="0.25">
      <c r="A22" s="71">
        <v>7</v>
      </c>
      <c r="B22" s="67">
        <f>($A22-1)*$B$5</f>
        <v>0.18</v>
      </c>
      <c r="C22" s="67">
        <f>($A22-1)*$B$5</f>
        <v>0.18</v>
      </c>
      <c r="D22" s="47">
        <f>MIN(($A22-1)*$B$6,30*$B$6)+MAX(0,$A22-31)*$B$7</f>
        <v>0.03</v>
      </c>
      <c r="E22" s="68">
        <f>IF($A22&gt;=$B$10,"최대",$B$8+$B$9*($A22-1))</f>
        <v>122</v>
      </c>
      <c r="F22" s="68">
        <f>F21+E21</f>
        <v>480</v>
      </c>
      <c r="G22" s="68">
        <f>F22*3</f>
        <v>1440</v>
      </c>
    </row>
    <row r="23" spans="1:7" x14ac:dyDescent="0.25">
      <c r="A23" s="71">
        <v>8</v>
      </c>
      <c r="B23" s="67">
        <f>($A23-1)*$B$5</f>
        <v>0.21</v>
      </c>
      <c r="C23" s="67">
        <f>($A23-1)*$B$5</f>
        <v>0.21</v>
      </c>
      <c r="D23" s="47">
        <f>MIN(($A23-1)*$B$6,30*$B$6)+MAX(0,$A23-31)*$B$7</f>
        <v>3.5000000000000003E-2</v>
      </c>
      <c r="E23" s="68">
        <f>IF($A23&gt;=$B$10,"최대",$B$8+$B$9*($A23-1))</f>
        <v>134</v>
      </c>
      <c r="F23" s="68">
        <f>F22+E22</f>
        <v>602</v>
      </c>
      <c r="G23" s="68">
        <f>F23*3</f>
        <v>1806</v>
      </c>
    </row>
    <row r="24" spans="1:7" x14ac:dyDescent="0.25">
      <c r="A24" s="71">
        <v>9</v>
      </c>
      <c r="B24" s="67">
        <f>($A24-1)*$B$5</f>
        <v>0.24</v>
      </c>
      <c r="C24" s="67">
        <f>($A24-1)*$B$5</f>
        <v>0.24</v>
      </c>
      <c r="D24" s="47">
        <f>MIN(($A24-1)*$B$6,30*$B$6)+MAX(0,$A24-31)*$B$7</f>
        <v>0.04</v>
      </c>
      <c r="E24" s="68">
        <f>IF($A24&gt;=$B$10,"최대",$B$8+$B$9*($A24-1))</f>
        <v>146</v>
      </c>
      <c r="F24" s="68">
        <f>F23+E23</f>
        <v>736</v>
      </c>
      <c r="G24" s="68">
        <f>F24*3</f>
        <v>2208</v>
      </c>
    </row>
    <row r="25" spans="1:7" x14ac:dyDescent="0.25">
      <c r="A25" s="71">
        <v>10</v>
      </c>
      <c r="B25" s="67">
        <f>($A25-1)*$B$5</f>
        <v>0.27</v>
      </c>
      <c r="C25" s="67">
        <f>($A25-1)*$B$5</f>
        <v>0.27</v>
      </c>
      <c r="D25" s="47">
        <f>MIN(($A25-1)*$B$6,30*$B$6)+MAX(0,$A25-31)*$B$7</f>
        <v>4.4999999999999998E-2</v>
      </c>
      <c r="E25" s="68">
        <f>IF($A25&gt;=$B$10,"최대",$B$8+$B$9*($A25-1))</f>
        <v>158</v>
      </c>
      <c r="F25" s="68">
        <f>F24+E24</f>
        <v>882</v>
      </c>
      <c r="G25" s="68">
        <f>F25*3</f>
        <v>2646</v>
      </c>
    </row>
    <row r="26" spans="1:7" x14ac:dyDescent="0.25">
      <c r="A26" s="71">
        <v>11</v>
      </c>
      <c r="B26" s="67">
        <f>($A26-1)*$B$5</f>
        <v>0.3</v>
      </c>
      <c r="C26" s="67">
        <f>($A26-1)*$B$5</f>
        <v>0.3</v>
      </c>
      <c r="D26" s="47">
        <f>MIN(($A26-1)*$B$6,30*$B$6)+MAX(0,$A26-31)*$B$7</f>
        <v>0.05</v>
      </c>
      <c r="E26" s="68">
        <f>IF($A26&gt;=$B$10,"최대",$B$8+$B$9*($A26-1))</f>
        <v>170</v>
      </c>
      <c r="F26" s="68">
        <f>F25+E25</f>
        <v>1040</v>
      </c>
      <c r="G26" s="68">
        <f>F26*3</f>
        <v>3120</v>
      </c>
    </row>
    <row r="27" spans="1:7" x14ac:dyDescent="0.25">
      <c r="A27" s="71">
        <v>12</v>
      </c>
      <c r="B27" s="67">
        <f>($A27-1)*$B$5</f>
        <v>0.32999999999999996</v>
      </c>
      <c r="C27" s="67">
        <f>($A27-1)*$B$5</f>
        <v>0.32999999999999996</v>
      </c>
      <c r="D27" s="47">
        <f>MIN(($A27-1)*$B$6,30*$B$6)+MAX(0,$A27-31)*$B$7</f>
        <v>5.5E-2</v>
      </c>
      <c r="E27" s="68">
        <f>IF($A27&gt;=$B$10,"최대",$B$8+$B$9*($A27-1))</f>
        <v>182</v>
      </c>
      <c r="F27" s="68">
        <f>F26+E26</f>
        <v>1210</v>
      </c>
      <c r="G27" s="68">
        <f>F27*3</f>
        <v>3630</v>
      </c>
    </row>
    <row r="28" spans="1:7" x14ac:dyDescent="0.25">
      <c r="A28" s="71">
        <v>13</v>
      </c>
      <c r="B28" s="67">
        <f>($A28-1)*$B$5</f>
        <v>0.36</v>
      </c>
      <c r="C28" s="67">
        <f>($A28-1)*$B$5</f>
        <v>0.36</v>
      </c>
      <c r="D28" s="47">
        <f>MIN(($A28-1)*$B$6,30*$B$6)+MAX(0,$A28-31)*$B$7</f>
        <v>0.06</v>
      </c>
      <c r="E28" s="68">
        <f>IF($A28&gt;=$B$10,"최대",$B$8+$B$9*($A28-1))</f>
        <v>194</v>
      </c>
      <c r="F28" s="68">
        <f>F27+E27</f>
        <v>1392</v>
      </c>
      <c r="G28" s="68">
        <f>F28*3</f>
        <v>4176</v>
      </c>
    </row>
    <row r="29" spans="1:7" x14ac:dyDescent="0.25">
      <c r="A29" s="71">
        <v>14</v>
      </c>
      <c r="B29" s="67">
        <f>($A29-1)*$B$5</f>
        <v>0.39</v>
      </c>
      <c r="C29" s="67">
        <f>($A29-1)*$B$5</f>
        <v>0.39</v>
      </c>
      <c r="D29" s="47">
        <f>MIN(($A29-1)*$B$6,30*$B$6)+MAX(0,$A29-31)*$B$7</f>
        <v>6.5000000000000002E-2</v>
      </c>
      <c r="E29" s="68">
        <f>IF($A29&gt;=$B$10,"최대",$B$8+$B$9*($A29-1))</f>
        <v>206</v>
      </c>
      <c r="F29" s="68">
        <f>F28+E28</f>
        <v>1586</v>
      </c>
      <c r="G29" s="68">
        <f>F29*3</f>
        <v>4758</v>
      </c>
    </row>
    <row r="30" spans="1:7" x14ac:dyDescent="0.25">
      <c r="A30" s="72">
        <v>15</v>
      </c>
      <c r="B30" s="73">
        <f>($A30-1)*$B$5</f>
        <v>0.42</v>
      </c>
      <c r="C30" s="73">
        <f>($A30-1)*$B$5</f>
        <v>0.42</v>
      </c>
      <c r="D30" s="74">
        <f>MIN(($A30-1)*$B$6,30*$B$6)+MAX(0,$A30-31)*$B$7</f>
        <v>7.0000000000000007E-2</v>
      </c>
      <c r="E30" s="75">
        <f>IF($A30&gt;=$B$10,"최대",$B$8+$B$9*($A30-1))</f>
        <v>218</v>
      </c>
      <c r="F30" s="75">
        <f>F29+E29</f>
        <v>1792</v>
      </c>
      <c r="G30" s="75">
        <f>F30*3</f>
        <v>5376</v>
      </c>
    </row>
    <row r="31" spans="1:7" x14ac:dyDescent="0.25">
      <c r="A31" s="71">
        <v>16</v>
      </c>
      <c r="B31" s="67">
        <f>($A31-1)*$B$5</f>
        <v>0.44999999999999996</v>
      </c>
      <c r="C31" s="67">
        <f>($A31-1)*$B$5</f>
        <v>0.44999999999999996</v>
      </c>
      <c r="D31" s="47">
        <f>MIN(($A31-1)*$B$6,30*$B$6)+MAX(0,$A31-31)*$B$7</f>
        <v>7.4999999999999997E-2</v>
      </c>
      <c r="E31" s="68">
        <f>IF($A31&gt;=$B$10,"최대",$B$8+$B$9*($A31-1))</f>
        <v>230</v>
      </c>
      <c r="F31" s="68">
        <f>F30+E30</f>
        <v>2010</v>
      </c>
      <c r="G31" s="68">
        <f>F31*3</f>
        <v>6030</v>
      </c>
    </row>
    <row r="32" spans="1:7" x14ac:dyDescent="0.25">
      <c r="A32" s="71">
        <v>17</v>
      </c>
      <c r="B32" s="67">
        <f>($A32-1)*$B$5</f>
        <v>0.48</v>
      </c>
      <c r="C32" s="67">
        <f>($A32-1)*$B$5</f>
        <v>0.48</v>
      </c>
      <c r="D32" s="47">
        <f>MIN(($A32-1)*$B$6,30*$B$6)+MAX(0,$A32-31)*$B$7</f>
        <v>0.08</v>
      </c>
      <c r="E32" s="68">
        <f>IF($A32&gt;=$B$10,"최대",$B$8+$B$9*($A32-1))</f>
        <v>242</v>
      </c>
      <c r="F32" s="68">
        <f>F31+E31</f>
        <v>2240</v>
      </c>
      <c r="G32" s="68">
        <f>F32*3</f>
        <v>6720</v>
      </c>
    </row>
    <row r="33" spans="1:7" x14ac:dyDescent="0.25">
      <c r="A33" s="71">
        <v>18</v>
      </c>
      <c r="B33" s="67">
        <f>($A33-1)*$B$5</f>
        <v>0.51</v>
      </c>
      <c r="C33" s="67">
        <f>($A33-1)*$B$5</f>
        <v>0.51</v>
      </c>
      <c r="D33" s="47">
        <f>MIN(($A33-1)*$B$6,30*$B$6)+MAX(0,$A33-31)*$B$7</f>
        <v>8.5000000000000006E-2</v>
      </c>
      <c r="E33" s="68">
        <f>IF($A33&gt;=$B$10,"최대",$B$8+$B$9*($A33-1))</f>
        <v>254</v>
      </c>
      <c r="F33" s="68">
        <f>F32+E32</f>
        <v>2482</v>
      </c>
      <c r="G33" s="68">
        <f>F33*3</f>
        <v>7446</v>
      </c>
    </row>
    <row r="34" spans="1:7" x14ac:dyDescent="0.25">
      <c r="A34" s="71">
        <v>19</v>
      </c>
      <c r="B34" s="67">
        <f>($A34-1)*$B$5</f>
        <v>0.54</v>
      </c>
      <c r="C34" s="67">
        <f>($A34-1)*$B$5</f>
        <v>0.54</v>
      </c>
      <c r="D34" s="47">
        <f>MIN(($A34-1)*$B$6,30*$B$6)+MAX(0,$A34-31)*$B$7</f>
        <v>0.09</v>
      </c>
      <c r="E34" s="68">
        <f>IF($A34&gt;=$B$10,"최대",$B$8+$B$9*($A34-1))</f>
        <v>266</v>
      </c>
      <c r="F34" s="68">
        <f>F33+E33</f>
        <v>2736</v>
      </c>
      <c r="G34" s="68">
        <f>F34*3</f>
        <v>8208</v>
      </c>
    </row>
    <row r="35" spans="1:7" x14ac:dyDescent="0.25">
      <c r="A35" s="72">
        <v>20</v>
      </c>
      <c r="B35" s="73">
        <f>($A35-1)*$B$5</f>
        <v>0.56999999999999995</v>
      </c>
      <c r="C35" s="73">
        <f>($A35-1)*$B$5</f>
        <v>0.56999999999999995</v>
      </c>
      <c r="D35" s="74">
        <f>MIN(($A35-1)*$B$6,30*$B$6)+MAX(0,$A35-31)*$B$7</f>
        <v>9.5000000000000001E-2</v>
      </c>
      <c r="E35" s="75">
        <f>IF($A35&gt;=$B$10,"최대",$B$8+$B$9*($A35-1))</f>
        <v>278</v>
      </c>
      <c r="F35" s="75">
        <f>F34+E34</f>
        <v>3002</v>
      </c>
      <c r="G35" s="75">
        <f>F35*3</f>
        <v>9006</v>
      </c>
    </row>
    <row r="36" spans="1:7" x14ac:dyDescent="0.25">
      <c r="A36" s="71">
        <v>21</v>
      </c>
      <c r="B36" s="67">
        <f>($A36-1)*$B$5</f>
        <v>0.6</v>
      </c>
      <c r="C36" s="67">
        <f>($A36-1)*$B$5</f>
        <v>0.6</v>
      </c>
      <c r="D36" s="47">
        <f>MIN(($A36-1)*$B$6,30*$B$6)+MAX(0,$A36-31)*$B$7</f>
        <v>0.1</v>
      </c>
      <c r="E36" s="68">
        <f>IF($A36&gt;=$B$10,"최대",$B$8+$B$9*($A36-1))</f>
        <v>290</v>
      </c>
      <c r="F36" s="68">
        <f>F35+E35</f>
        <v>3280</v>
      </c>
      <c r="G36" s="68">
        <f>F36*3</f>
        <v>9840</v>
      </c>
    </row>
    <row r="37" spans="1:7" x14ac:dyDescent="0.25">
      <c r="A37" s="71">
        <v>22</v>
      </c>
      <c r="B37" s="67">
        <f>($A37-1)*$B$5</f>
        <v>0.63</v>
      </c>
      <c r="C37" s="67">
        <f>($A37-1)*$B$5</f>
        <v>0.63</v>
      </c>
      <c r="D37" s="47">
        <f>MIN(($A37-1)*$B$6,30*$B$6)+MAX(0,$A37-31)*$B$7</f>
        <v>0.105</v>
      </c>
      <c r="E37" s="68">
        <f>IF($A37&gt;=$B$10,"최대",$B$8+$B$9*($A37-1))</f>
        <v>302</v>
      </c>
      <c r="F37" s="68">
        <f>F36+E36</f>
        <v>3570</v>
      </c>
      <c r="G37" s="68">
        <f>F37*3</f>
        <v>10710</v>
      </c>
    </row>
    <row r="38" spans="1:7" x14ac:dyDescent="0.25">
      <c r="A38" s="71">
        <v>23</v>
      </c>
      <c r="B38" s="67">
        <f>($A38-1)*$B$5</f>
        <v>0.65999999999999992</v>
      </c>
      <c r="C38" s="67">
        <f>($A38-1)*$B$5</f>
        <v>0.65999999999999992</v>
      </c>
      <c r="D38" s="47">
        <f>MIN(($A38-1)*$B$6,30*$B$6)+MAX(0,$A38-31)*$B$7</f>
        <v>0.11</v>
      </c>
      <c r="E38" s="68">
        <f>IF($A38&gt;=$B$10,"최대",$B$8+$B$9*($A38-1))</f>
        <v>314</v>
      </c>
      <c r="F38" s="68">
        <f>F37+E37</f>
        <v>3872</v>
      </c>
      <c r="G38" s="68">
        <f>F38*3</f>
        <v>11616</v>
      </c>
    </row>
    <row r="39" spans="1:7" x14ac:dyDescent="0.25">
      <c r="A39" s="71">
        <v>24</v>
      </c>
      <c r="B39" s="67">
        <f>($A39-1)*$B$5</f>
        <v>0.69</v>
      </c>
      <c r="C39" s="67">
        <f>($A39-1)*$B$5</f>
        <v>0.69</v>
      </c>
      <c r="D39" s="47">
        <f>MIN(($A39-1)*$B$6,30*$B$6)+MAX(0,$A39-31)*$B$7</f>
        <v>0.115</v>
      </c>
      <c r="E39" s="68">
        <f>IF($A39&gt;=$B$10,"최대",$B$8+$B$9*($A39-1))</f>
        <v>326</v>
      </c>
      <c r="F39" s="68">
        <f>F38+E38</f>
        <v>4186</v>
      </c>
      <c r="G39" s="68">
        <f>F39*3</f>
        <v>12558</v>
      </c>
    </row>
    <row r="40" spans="1:7" x14ac:dyDescent="0.25">
      <c r="A40" s="71">
        <v>25</v>
      </c>
      <c r="B40" s="67">
        <f>($A40-1)*$B$5</f>
        <v>0.72</v>
      </c>
      <c r="C40" s="67">
        <f>($A40-1)*$B$5</f>
        <v>0.72</v>
      </c>
      <c r="D40" s="47">
        <f>MIN(($A40-1)*$B$6,30*$B$6)+MAX(0,$A40-31)*$B$7</f>
        <v>0.12</v>
      </c>
      <c r="E40" s="68">
        <f>IF($A40&gt;=$B$10,"최대",$B$8+$B$9*($A40-1))</f>
        <v>338</v>
      </c>
      <c r="F40" s="68">
        <f>F39+E39</f>
        <v>4512</v>
      </c>
      <c r="G40" s="68">
        <f>F40*3</f>
        <v>13536</v>
      </c>
    </row>
    <row r="41" spans="1:7" x14ac:dyDescent="0.25">
      <c r="A41" s="71">
        <v>26</v>
      </c>
      <c r="B41" s="67">
        <f>($A41-1)*$B$5</f>
        <v>0.75</v>
      </c>
      <c r="C41" s="67">
        <f>($A41-1)*$B$5</f>
        <v>0.75</v>
      </c>
      <c r="D41" s="47">
        <f>MIN(($A41-1)*$B$6,30*$B$6)+MAX(0,$A41-31)*$B$7</f>
        <v>0.125</v>
      </c>
      <c r="E41" s="68">
        <f>IF($A41&gt;=$B$10,"최대",$B$8+$B$9*($A41-1))</f>
        <v>350</v>
      </c>
      <c r="F41" s="68">
        <f>F40+E40</f>
        <v>4850</v>
      </c>
      <c r="G41" s="68">
        <f>F41*3</f>
        <v>14550</v>
      </c>
    </row>
    <row r="42" spans="1:7" x14ac:dyDescent="0.25">
      <c r="A42" s="71">
        <v>27</v>
      </c>
      <c r="B42" s="67">
        <f>($A42-1)*$B$5</f>
        <v>0.78</v>
      </c>
      <c r="C42" s="67">
        <f>($A42-1)*$B$5</f>
        <v>0.78</v>
      </c>
      <c r="D42" s="47">
        <f>MIN(($A42-1)*$B$6,30*$B$6)+MAX(0,$A42-31)*$B$7</f>
        <v>0.13</v>
      </c>
      <c r="E42" s="68">
        <f>IF($A42&gt;=$B$10,"최대",$B$8+$B$9*($A42-1))</f>
        <v>362</v>
      </c>
      <c r="F42" s="68">
        <f>F41+E41</f>
        <v>5200</v>
      </c>
      <c r="G42" s="68">
        <f>F42*3</f>
        <v>15600</v>
      </c>
    </row>
    <row r="43" spans="1:7" x14ac:dyDescent="0.25">
      <c r="A43" s="71">
        <v>28</v>
      </c>
      <c r="B43" s="67">
        <f>($A43-1)*$B$5</f>
        <v>0.80999999999999994</v>
      </c>
      <c r="C43" s="67">
        <f>($A43-1)*$B$5</f>
        <v>0.80999999999999994</v>
      </c>
      <c r="D43" s="47">
        <f>MIN(($A43-1)*$B$6,30*$B$6)+MAX(0,$A43-31)*$B$7</f>
        <v>0.13500000000000001</v>
      </c>
      <c r="E43" s="68">
        <f>IF($A43&gt;=$B$10,"최대",$B$8+$B$9*($A43-1))</f>
        <v>374</v>
      </c>
      <c r="F43" s="68">
        <f>F42+E42</f>
        <v>5562</v>
      </c>
      <c r="G43" s="68">
        <f>F43*3</f>
        <v>16686</v>
      </c>
    </row>
    <row r="44" spans="1:7" x14ac:dyDescent="0.25">
      <c r="A44" s="71">
        <v>29</v>
      </c>
      <c r="B44" s="67">
        <f>($A44-1)*$B$5</f>
        <v>0.84</v>
      </c>
      <c r="C44" s="67">
        <f>($A44-1)*$B$5</f>
        <v>0.84</v>
      </c>
      <c r="D44" s="47">
        <f>MIN(($A44-1)*$B$6,30*$B$6)+MAX(0,$A44-31)*$B$7</f>
        <v>0.14000000000000001</v>
      </c>
      <c r="E44" s="68">
        <f>IF($A44&gt;=$B$10,"최대",$B$8+$B$9*($A44-1))</f>
        <v>386</v>
      </c>
      <c r="F44" s="68">
        <f>F43+E43</f>
        <v>5936</v>
      </c>
      <c r="G44" s="68">
        <f>F44*3</f>
        <v>17808</v>
      </c>
    </row>
    <row r="45" spans="1:7" x14ac:dyDescent="0.25">
      <c r="A45" s="71">
        <v>30</v>
      </c>
      <c r="B45" s="67">
        <f>($A45-1)*$B$5</f>
        <v>0.87</v>
      </c>
      <c r="C45" s="67">
        <f>($A45-1)*$B$5</f>
        <v>0.87</v>
      </c>
      <c r="D45" s="47">
        <f>MIN(($A45-1)*$B$6,30*$B$6)+MAX(0,$A45-31)*$B$7</f>
        <v>0.14499999999999999</v>
      </c>
      <c r="E45" s="68">
        <f>IF($A45&gt;=$B$10,"최대",$B$8+$B$9*($A45-1))</f>
        <v>398</v>
      </c>
      <c r="F45" s="68">
        <f>F44+E44</f>
        <v>6322</v>
      </c>
      <c r="G45" s="68">
        <f>F45*3</f>
        <v>18966</v>
      </c>
    </row>
    <row r="46" spans="1:7" x14ac:dyDescent="0.25">
      <c r="A46" s="71">
        <v>31</v>
      </c>
      <c r="B46" s="67">
        <f>($A46-1)*$B$5</f>
        <v>0.89999999999999991</v>
      </c>
      <c r="C46" s="67">
        <f>($A46-1)*$B$5</f>
        <v>0.89999999999999991</v>
      </c>
      <c r="D46" s="47">
        <f>MIN(($A46-1)*$B$6,30*$B$6)+MAX(0,$A46-31)*$B$7</f>
        <v>0.15</v>
      </c>
      <c r="E46" s="68">
        <f>IF($A46&gt;=$B$10,"최대",$B$8+$B$9*($A46-1))</f>
        <v>410</v>
      </c>
      <c r="F46" s="68">
        <f>F45+E45</f>
        <v>6720</v>
      </c>
      <c r="G46" s="68">
        <f>F46*3</f>
        <v>20160</v>
      </c>
    </row>
    <row r="47" spans="1:7" x14ac:dyDescent="0.25">
      <c r="A47" s="71">
        <v>32</v>
      </c>
      <c r="B47" s="67">
        <f>($A47-1)*$B$5</f>
        <v>0.92999999999999994</v>
      </c>
      <c r="C47" s="67">
        <f>($A47-1)*$B$5</f>
        <v>0.92999999999999994</v>
      </c>
      <c r="D47" s="47">
        <f>MIN(($A47-1)*$B$6,30*$B$6)+MAX(0,$A47-31)*$B$7</f>
        <v>0.151</v>
      </c>
      <c r="E47" s="68">
        <f>IF($A47&gt;=$B$10,"최대",$B$8+$B$9*($A47-1))</f>
        <v>422</v>
      </c>
      <c r="F47" s="68">
        <f>F46+E46</f>
        <v>7130</v>
      </c>
      <c r="G47" s="68">
        <f>F47*3</f>
        <v>21390</v>
      </c>
    </row>
    <row r="48" spans="1:7" x14ac:dyDescent="0.25">
      <c r="A48" s="71">
        <v>33</v>
      </c>
      <c r="B48" s="67">
        <f>($A48-1)*$B$5</f>
        <v>0.96</v>
      </c>
      <c r="C48" s="67">
        <f>($A48-1)*$B$5</f>
        <v>0.96</v>
      </c>
      <c r="D48" s="47">
        <f>MIN(($A48-1)*$B$6,30*$B$6)+MAX(0,$A48-31)*$B$7</f>
        <v>0.152</v>
      </c>
      <c r="E48" s="68">
        <f>IF($A48&gt;=$B$10,"최대",$B$8+$B$9*($A48-1))</f>
        <v>434</v>
      </c>
      <c r="F48" s="68">
        <f>F47+E47</f>
        <v>7552</v>
      </c>
      <c r="G48" s="68">
        <f>F48*3</f>
        <v>22656</v>
      </c>
    </row>
    <row r="49" spans="1:7" x14ac:dyDescent="0.25">
      <c r="A49" s="71">
        <v>34</v>
      </c>
      <c r="B49" s="67">
        <f>($A49-1)*$B$5</f>
        <v>0.99</v>
      </c>
      <c r="C49" s="67">
        <f>($A49-1)*$B$5</f>
        <v>0.99</v>
      </c>
      <c r="D49" s="47">
        <f>MIN(($A49-1)*$B$6,30*$B$6)+MAX(0,$A49-31)*$B$7</f>
        <v>0.153</v>
      </c>
      <c r="E49" s="68">
        <f>IF($A49&gt;=$B$10,"최대",$B$8+$B$9*($A49-1))</f>
        <v>446</v>
      </c>
      <c r="F49" s="68">
        <f>F48+E48</f>
        <v>7986</v>
      </c>
      <c r="G49" s="68">
        <f>F49*3</f>
        <v>23958</v>
      </c>
    </row>
    <row r="50" spans="1:7" x14ac:dyDescent="0.25">
      <c r="A50" s="71">
        <v>35</v>
      </c>
      <c r="B50" s="67">
        <f>($A50-1)*$B$5</f>
        <v>1.02</v>
      </c>
      <c r="C50" s="67">
        <f>($A50-1)*$B$5</f>
        <v>1.02</v>
      </c>
      <c r="D50" s="47">
        <f>MIN(($A50-1)*$B$6,30*$B$6)+MAX(0,$A50-31)*$B$7</f>
        <v>0.154</v>
      </c>
      <c r="E50" s="68">
        <f>IF($A50&gt;=$B$10,"최대",$B$8+$B$9*($A50-1))</f>
        <v>458</v>
      </c>
      <c r="F50" s="68">
        <f>F49+E49</f>
        <v>8432</v>
      </c>
      <c r="G50" s="68">
        <f>F50*3</f>
        <v>25296</v>
      </c>
    </row>
    <row r="51" spans="1:7" x14ac:dyDescent="0.25">
      <c r="A51" s="71">
        <v>36</v>
      </c>
      <c r="B51" s="67">
        <f>($A51-1)*$B$5</f>
        <v>1.05</v>
      </c>
      <c r="C51" s="67">
        <f>($A51-1)*$B$5</f>
        <v>1.05</v>
      </c>
      <c r="D51" s="47">
        <f>MIN(($A51-1)*$B$6,30*$B$6)+MAX(0,$A51-31)*$B$7</f>
        <v>0.155</v>
      </c>
      <c r="E51" s="68">
        <f>IF($A51&gt;=$B$10,"최대",$B$8+$B$9*($A51-1))</f>
        <v>470</v>
      </c>
      <c r="F51" s="68">
        <f>F50+E50</f>
        <v>8890</v>
      </c>
      <c r="G51" s="68">
        <f>F51*3</f>
        <v>26670</v>
      </c>
    </row>
    <row r="52" spans="1:7" x14ac:dyDescent="0.25">
      <c r="A52" s="71">
        <v>37</v>
      </c>
      <c r="B52" s="67">
        <f>($A52-1)*$B$5</f>
        <v>1.08</v>
      </c>
      <c r="C52" s="67">
        <f>($A52-1)*$B$5</f>
        <v>1.08</v>
      </c>
      <c r="D52" s="47">
        <f>MIN(($A52-1)*$B$6,30*$B$6)+MAX(0,$A52-31)*$B$7</f>
        <v>0.156</v>
      </c>
      <c r="E52" s="68">
        <f>IF($A52&gt;=$B$10,"최대",$B$8+$B$9*($A52-1))</f>
        <v>482</v>
      </c>
      <c r="F52" s="68">
        <f>F51+E51</f>
        <v>9360</v>
      </c>
      <c r="G52" s="68">
        <f>F52*3</f>
        <v>28080</v>
      </c>
    </row>
    <row r="53" spans="1:7" x14ac:dyDescent="0.25">
      <c r="A53" s="71">
        <v>38</v>
      </c>
      <c r="B53" s="67">
        <f>($A53-1)*$B$5</f>
        <v>1.1099999999999999</v>
      </c>
      <c r="C53" s="67">
        <f>($A53-1)*$B$5</f>
        <v>1.1099999999999999</v>
      </c>
      <c r="D53" s="47">
        <f>MIN(($A53-1)*$B$6,30*$B$6)+MAX(0,$A53-31)*$B$7</f>
        <v>0.157</v>
      </c>
      <c r="E53" s="68">
        <f>IF($A53&gt;=$B$10,"최대",$B$8+$B$9*($A53-1))</f>
        <v>494</v>
      </c>
      <c r="F53" s="68">
        <f>F52+E52</f>
        <v>9842</v>
      </c>
      <c r="G53" s="68">
        <f>F53*3</f>
        <v>29526</v>
      </c>
    </row>
    <row r="54" spans="1:7" x14ac:dyDescent="0.25">
      <c r="A54" s="71">
        <v>39</v>
      </c>
      <c r="B54" s="67">
        <f>($A54-1)*$B$5</f>
        <v>1.1399999999999999</v>
      </c>
      <c r="C54" s="67">
        <f>($A54-1)*$B$5</f>
        <v>1.1399999999999999</v>
      </c>
      <c r="D54" s="47">
        <f>MIN(($A54-1)*$B$6,30*$B$6)+MAX(0,$A54-31)*$B$7</f>
        <v>0.158</v>
      </c>
      <c r="E54" s="68">
        <f>IF($A54&gt;=$B$10,"최대",$B$8+$B$9*($A54-1))</f>
        <v>506</v>
      </c>
      <c r="F54" s="68">
        <f>F53+E53</f>
        <v>10336</v>
      </c>
      <c r="G54" s="68">
        <f>F54*3</f>
        <v>31008</v>
      </c>
    </row>
    <row r="55" spans="1:7" x14ac:dyDescent="0.25">
      <c r="A55" s="76">
        <v>40</v>
      </c>
      <c r="B55" s="77">
        <f>($A55-1)*$B$5</f>
        <v>1.17</v>
      </c>
      <c r="C55" s="77">
        <f>($A55-1)*$B$5</f>
        <v>1.17</v>
      </c>
      <c r="D55" s="51">
        <f>MIN(($A55-1)*$B$6,30*$B$6)+MAX(0,$A55-31)*$B$7</f>
        <v>0.159</v>
      </c>
      <c r="E55" s="78">
        <f>IF($A55&gt;=$B$10,"최대",$B$8+$B$9*($A55-1))</f>
        <v>518</v>
      </c>
      <c r="F55" s="78">
        <f>F54+E54</f>
        <v>10842</v>
      </c>
      <c r="G55" s="78">
        <f>F55*3</f>
        <v>32526</v>
      </c>
    </row>
    <row r="56" spans="1:7" x14ac:dyDescent="0.25">
      <c r="A56" s="71">
        <v>41</v>
      </c>
      <c r="B56" s="67">
        <f>($A56-1)*$B$5</f>
        <v>1.2</v>
      </c>
      <c r="C56" s="67">
        <f>($A56-1)*$B$5</f>
        <v>1.2</v>
      </c>
      <c r="D56" s="47">
        <f>MIN(($A56-1)*$B$6,30*$B$6)+MAX(0,$A56-31)*$B$7</f>
        <v>0.16</v>
      </c>
      <c r="E56" s="68">
        <f>IF($A56&gt;=$B$10,"최대",$B$8+$B$9*($A56-1))</f>
        <v>530</v>
      </c>
      <c r="F56" s="68">
        <f>F55+E55</f>
        <v>11360</v>
      </c>
      <c r="G56" s="68">
        <f>F56*3</f>
        <v>34080</v>
      </c>
    </row>
    <row r="57" spans="1:7" x14ac:dyDescent="0.25">
      <c r="A57" s="71">
        <v>42</v>
      </c>
      <c r="B57" s="67">
        <f>($A57-1)*$B$5</f>
        <v>1.23</v>
      </c>
      <c r="C57" s="67">
        <f>($A57-1)*$B$5</f>
        <v>1.23</v>
      </c>
      <c r="D57" s="47">
        <f>MIN(($A57-1)*$B$6,30*$B$6)+MAX(0,$A57-31)*$B$7</f>
        <v>0.161</v>
      </c>
      <c r="E57" s="68">
        <f>IF($A57&gt;=$B$10,"최대",$B$8+$B$9*($A57-1))</f>
        <v>542</v>
      </c>
      <c r="F57" s="68">
        <f>F56+E56</f>
        <v>11890</v>
      </c>
      <c r="G57" s="68">
        <f>F57*3</f>
        <v>35670</v>
      </c>
    </row>
    <row r="58" spans="1:7" x14ac:dyDescent="0.25">
      <c r="A58" s="71">
        <v>43</v>
      </c>
      <c r="B58" s="67">
        <f>($A58-1)*$B$5</f>
        <v>1.26</v>
      </c>
      <c r="C58" s="67">
        <f>($A58-1)*$B$5</f>
        <v>1.26</v>
      </c>
      <c r="D58" s="47">
        <f>MIN(($A58-1)*$B$6,30*$B$6)+MAX(0,$A58-31)*$B$7</f>
        <v>0.16200000000000001</v>
      </c>
      <c r="E58" s="68">
        <f>IF($A58&gt;=$B$10,"최대",$B$8+$B$9*($A58-1))</f>
        <v>554</v>
      </c>
      <c r="F58" s="68">
        <f>F57+E57</f>
        <v>12432</v>
      </c>
      <c r="G58" s="68">
        <f>F58*3</f>
        <v>37296</v>
      </c>
    </row>
    <row r="59" spans="1:7" x14ac:dyDescent="0.25">
      <c r="A59" s="71">
        <v>44</v>
      </c>
      <c r="B59" s="67">
        <f>($A59-1)*$B$5</f>
        <v>1.29</v>
      </c>
      <c r="C59" s="67">
        <f>($A59-1)*$B$5</f>
        <v>1.29</v>
      </c>
      <c r="D59" s="47">
        <f>MIN(($A59-1)*$B$6,30*$B$6)+MAX(0,$A59-31)*$B$7</f>
        <v>0.16300000000000001</v>
      </c>
      <c r="E59" s="68">
        <f>IF($A59&gt;=$B$10,"최대",$B$8+$B$9*($A59-1))</f>
        <v>566</v>
      </c>
      <c r="F59" s="68">
        <f>F58+E58</f>
        <v>12986</v>
      </c>
      <c r="G59" s="68">
        <f>F59*3</f>
        <v>38958</v>
      </c>
    </row>
    <row r="60" spans="1:7" x14ac:dyDescent="0.25">
      <c r="A60" s="71">
        <v>45</v>
      </c>
      <c r="B60" s="67">
        <f>($A60-1)*$B$5</f>
        <v>1.3199999999999998</v>
      </c>
      <c r="C60" s="67">
        <f>($A60-1)*$B$5</f>
        <v>1.3199999999999998</v>
      </c>
      <c r="D60" s="47">
        <f>MIN(($A60-1)*$B$6,30*$B$6)+MAX(0,$A60-31)*$B$7</f>
        <v>0.16400000000000001</v>
      </c>
      <c r="E60" s="68">
        <f>IF($A60&gt;=$B$10,"최대",$B$8+$B$9*($A60-1))</f>
        <v>578</v>
      </c>
      <c r="F60" s="68">
        <f>F59+E59</f>
        <v>13552</v>
      </c>
      <c r="G60" s="68">
        <f>F60*3</f>
        <v>40656</v>
      </c>
    </row>
    <row r="61" spans="1:7" x14ac:dyDescent="0.25">
      <c r="A61" s="71">
        <v>46</v>
      </c>
      <c r="B61" s="67">
        <f>($A61-1)*$B$5</f>
        <v>1.3499999999999999</v>
      </c>
      <c r="C61" s="67">
        <f>($A61-1)*$B$5</f>
        <v>1.3499999999999999</v>
      </c>
      <c r="D61" s="47">
        <f>MIN(($A61-1)*$B$6,30*$B$6)+MAX(0,$A61-31)*$B$7</f>
        <v>0.16499999999999998</v>
      </c>
      <c r="E61" s="68">
        <f>IF($A61&gt;=$B$10,"최대",$B$8+$B$9*($A61-1))</f>
        <v>590</v>
      </c>
      <c r="F61" s="68">
        <f>F60+E60</f>
        <v>14130</v>
      </c>
      <c r="G61" s="68">
        <f>F61*3</f>
        <v>42390</v>
      </c>
    </row>
    <row r="62" spans="1:7" x14ac:dyDescent="0.25">
      <c r="A62" s="71">
        <v>47</v>
      </c>
      <c r="B62" s="67">
        <f>($A62-1)*$B$5</f>
        <v>1.38</v>
      </c>
      <c r="C62" s="67">
        <f>($A62-1)*$B$5</f>
        <v>1.38</v>
      </c>
      <c r="D62" s="47">
        <f>MIN(($A62-1)*$B$6,30*$B$6)+MAX(0,$A62-31)*$B$7</f>
        <v>0.16599999999999998</v>
      </c>
      <c r="E62" s="68">
        <f>IF($A62&gt;=$B$10,"최대",$B$8+$B$9*($A62-1))</f>
        <v>602</v>
      </c>
      <c r="F62" s="68">
        <f>F61+E61</f>
        <v>14720</v>
      </c>
      <c r="G62" s="68">
        <f>F62*3</f>
        <v>44160</v>
      </c>
    </row>
    <row r="63" spans="1:7" x14ac:dyDescent="0.25">
      <c r="A63" s="71">
        <v>48</v>
      </c>
      <c r="B63" s="67">
        <f>($A63-1)*$B$5</f>
        <v>1.41</v>
      </c>
      <c r="C63" s="67">
        <f>($A63-1)*$B$5</f>
        <v>1.41</v>
      </c>
      <c r="D63" s="47">
        <f>MIN(($A63-1)*$B$6,30*$B$6)+MAX(0,$A63-31)*$B$7</f>
        <v>0.16699999999999998</v>
      </c>
      <c r="E63" s="68">
        <f>IF($A63&gt;=$B$10,"최대",$B$8+$B$9*($A63-1))</f>
        <v>614</v>
      </c>
      <c r="F63" s="68">
        <f>F62+E62</f>
        <v>15322</v>
      </c>
      <c r="G63" s="68">
        <f>F63*3</f>
        <v>45966</v>
      </c>
    </row>
    <row r="64" spans="1:7" x14ac:dyDescent="0.25">
      <c r="A64" s="71">
        <v>49</v>
      </c>
      <c r="B64" s="67">
        <f>($A64-1)*$B$5</f>
        <v>1.44</v>
      </c>
      <c r="C64" s="67">
        <f>($A64-1)*$B$5</f>
        <v>1.44</v>
      </c>
      <c r="D64" s="47">
        <f>MIN(($A64-1)*$B$6,30*$B$6)+MAX(0,$A64-31)*$B$7</f>
        <v>0.16799999999999998</v>
      </c>
      <c r="E64" s="68">
        <f>IF($A64&gt;=$B$10,"최대",$B$8+$B$9*($A64-1))</f>
        <v>626</v>
      </c>
      <c r="F64" s="68">
        <f>F63+E63</f>
        <v>15936</v>
      </c>
      <c r="G64" s="68">
        <f>F64*3</f>
        <v>47808</v>
      </c>
    </row>
    <row r="65" spans="1:7" x14ac:dyDescent="0.25">
      <c r="A65" s="71">
        <v>50</v>
      </c>
      <c r="B65" s="67">
        <f>($A65-1)*$B$5</f>
        <v>1.47</v>
      </c>
      <c r="C65" s="67">
        <f>($A65-1)*$B$5</f>
        <v>1.47</v>
      </c>
      <c r="D65" s="47">
        <f>MIN(($A65-1)*$B$6,30*$B$6)+MAX(0,$A65-31)*$B$7</f>
        <v>0.16899999999999998</v>
      </c>
      <c r="E65" s="68">
        <f>IF($A65&gt;=$B$10,"최대",$B$8+$B$9*($A65-1))</f>
        <v>638</v>
      </c>
      <c r="F65" s="68">
        <f>F64+E64</f>
        <v>16562</v>
      </c>
      <c r="G65" s="68">
        <f>F65*3</f>
        <v>49686</v>
      </c>
    </row>
    <row r="66" spans="1:7" x14ac:dyDescent="0.25">
      <c r="A66" s="71">
        <v>51</v>
      </c>
      <c r="B66" s="67">
        <f>($A66-1)*$B$5</f>
        <v>1.5</v>
      </c>
      <c r="C66" s="67">
        <f>($A66-1)*$B$5</f>
        <v>1.5</v>
      </c>
      <c r="D66" s="47">
        <f>MIN(($A66-1)*$B$6,30*$B$6)+MAX(0,$A66-31)*$B$7</f>
        <v>0.16999999999999998</v>
      </c>
      <c r="E66" s="68">
        <f>IF($A66&gt;=$B$10,"최대",$B$8+$B$9*($A66-1))</f>
        <v>650</v>
      </c>
      <c r="F66" s="68">
        <f>F65+E65</f>
        <v>17200</v>
      </c>
      <c r="G66" s="68">
        <f>F66*3</f>
        <v>51600</v>
      </c>
    </row>
    <row r="67" spans="1:7" x14ac:dyDescent="0.25">
      <c r="A67" s="71">
        <v>52</v>
      </c>
      <c r="B67" s="67">
        <f>($A67-1)*$B$5</f>
        <v>1.53</v>
      </c>
      <c r="C67" s="67">
        <f>($A67-1)*$B$5</f>
        <v>1.53</v>
      </c>
      <c r="D67" s="47">
        <f>MIN(($A67-1)*$B$6,30*$B$6)+MAX(0,$A67-31)*$B$7</f>
        <v>0.17099999999999999</v>
      </c>
      <c r="E67" s="68">
        <f>IF($A67&gt;=$B$10,"최대",$B$8+$B$9*($A67-1))</f>
        <v>662</v>
      </c>
      <c r="F67" s="68">
        <f>F66+E66</f>
        <v>17850</v>
      </c>
      <c r="G67" s="68">
        <f>F67*3</f>
        <v>53550</v>
      </c>
    </row>
    <row r="68" spans="1:7" x14ac:dyDescent="0.25">
      <c r="A68" s="71">
        <v>53</v>
      </c>
      <c r="B68" s="67">
        <f>($A68-1)*$B$5</f>
        <v>1.56</v>
      </c>
      <c r="C68" s="67">
        <f>($A68-1)*$B$5</f>
        <v>1.56</v>
      </c>
      <c r="D68" s="47">
        <f>MIN(($A68-1)*$B$6,30*$B$6)+MAX(0,$A68-31)*$B$7</f>
        <v>0.17199999999999999</v>
      </c>
      <c r="E68" s="68">
        <f>IF($A68&gt;=$B$10,"최대",$B$8+$B$9*($A68-1))</f>
        <v>674</v>
      </c>
      <c r="F68" s="68">
        <f>F67+E67</f>
        <v>18512</v>
      </c>
      <c r="G68" s="68">
        <f>F68*3</f>
        <v>55536</v>
      </c>
    </row>
    <row r="69" spans="1:7" x14ac:dyDescent="0.25">
      <c r="A69" s="71">
        <v>54</v>
      </c>
      <c r="B69" s="67">
        <f>($A69-1)*$B$5</f>
        <v>1.5899999999999999</v>
      </c>
      <c r="C69" s="67">
        <f>($A69-1)*$B$5</f>
        <v>1.5899999999999999</v>
      </c>
      <c r="D69" s="47">
        <f>MIN(($A69-1)*$B$6,30*$B$6)+MAX(0,$A69-31)*$B$7</f>
        <v>0.17299999999999999</v>
      </c>
      <c r="E69" s="68">
        <f>IF($A69&gt;=$B$10,"최대",$B$8+$B$9*($A69-1))</f>
        <v>686</v>
      </c>
      <c r="F69" s="68">
        <f>F68+E68</f>
        <v>19186</v>
      </c>
      <c r="G69" s="68">
        <f>F69*3</f>
        <v>57558</v>
      </c>
    </row>
    <row r="70" spans="1:7" x14ac:dyDescent="0.25">
      <c r="A70" s="71">
        <v>55</v>
      </c>
      <c r="B70" s="67">
        <f>($A70-1)*$B$5</f>
        <v>1.6199999999999999</v>
      </c>
      <c r="C70" s="67">
        <f>($A70-1)*$B$5</f>
        <v>1.6199999999999999</v>
      </c>
      <c r="D70" s="47">
        <f>MIN(($A70-1)*$B$6,30*$B$6)+MAX(0,$A70-31)*$B$7</f>
        <v>0.17399999999999999</v>
      </c>
      <c r="E70" s="68">
        <f>IF($A70&gt;=$B$10,"최대",$B$8+$B$9*($A70-1))</f>
        <v>698</v>
      </c>
      <c r="F70" s="68">
        <f>F69+E69</f>
        <v>19872</v>
      </c>
      <c r="G70" s="68">
        <f>F70*3</f>
        <v>59616</v>
      </c>
    </row>
    <row r="71" spans="1:7" x14ac:dyDescent="0.25">
      <c r="A71" s="71">
        <v>56</v>
      </c>
      <c r="B71" s="67">
        <f>($A71-1)*$B$5</f>
        <v>1.65</v>
      </c>
      <c r="C71" s="67">
        <f>($A71-1)*$B$5</f>
        <v>1.65</v>
      </c>
      <c r="D71" s="47">
        <f>MIN(($A71-1)*$B$6,30*$B$6)+MAX(0,$A71-31)*$B$7</f>
        <v>0.17499999999999999</v>
      </c>
      <c r="E71" s="68">
        <f>IF($A71&gt;=$B$10,"최대",$B$8+$B$9*($A71-1))</f>
        <v>710</v>
      </c>
      <c r="F71" s="68">
        <f>F70+E70</f>
        <v>20570</v>
      </c>
      <c r="G71" s="68">
        <f>F71*3</f>
        <v>61710</v>
      </c>
    </row>
    <row r="72" spans="1:7" x14ac:dyDescent="0.25">
      <c r="A72" s="71">
        <v>57</v>
      </c>
      <c r="B72" s="67">
        <f>($A72-1)*$B$5</f>
        <v>1.68</v>
      </c>
      <c r="C72" s="67">
        <f>($A72-1)*$B$5</f>
        <v>1.68</v>
      </c>
      <c r="D72" s="47">
        <f>MIN(($A72-1)*$B$6,30*$B$6)+MAX(0,$A72-31)*$B$7</f>
        <v>0.17599999999999999</v>
      </c>
      <c r="E72" s="68">
        <f>IF($A72&gt;=$B$10,"최대",$B$8+$B$9*($A72-1))</f>
        <v>722</v>
      </c>
      <c r="F72" s="68">
        <f>F71+E71</f>
        <v>21280</v>
      </c>
      <c r="G72" s="68">
        <f>F72*3</f>
        <v>63840</v>
      </c>
    </row>
    <row r="73" spans="1:7" x14ac:dyDescent="0.25">
      <c r="A73" s="71">
        <v>58</v>
      </c>
      <c r="B73" s="67">
        <f>($A73-1)*$B$5</f>
        <v>1.71</v>
      </c>
      <c r="C73" s="67">
        <f>($A73-1)*$B$5</f>
        <v>1.71</v>
      </c>
      <c r="D73" s="47">
        <f>MIN(($A73-1)*$B$6,30*$B$6)+MAX(0,$A73-31)*$B$7</f>
        <v>0.17699999999999999</v>
      </c>
      <c r="E73" s="68">
        <f>IF($A73&gt;=$B$10,"최대",$B$8+$B$9*($A73-1))</f>
        <v>734</v>
      </c>
      <c r="F73" s="68">
        <f>F72+E72</f>
        <v>22002</v>
      </c>
      <c r="G73" s="68">
        <f>F73*3</f>
        <v>66006</v>
      </c>
    </row>
    <row r="74" spans="1:7" x14ac:dyDescent="0.25">
      <c r="A74" s="71">
        <v>59</v>
      </c>
      <c r="B74" s="67">
        <f>($A74-1)*$B$5</f>
        <v>1.74</v>
      </c>
      <c r="C74" s="67">
        <f>($A74-1)*$B$5</f>
        <v>1.74</v>
      </c>
      <c r="D74" s="47">
        <f>MIN(($A74-1)*$B$6,30*$B$6)+MAX(0,$A74-31)*$B$7</f>
        <v>0.17799999999999999</v>
      </c>
      <c r="E74" s="68">
        <f>IF($A74&gt;=$B$10,"최대",$B$8+$B$9*($A74-1))</f>
        <v>746</v>
      </c>
      <c r="F74" s="68">
        <f>F73+E73</f>
        <v>22736</v>
      </c>
      <c r="G74" s="68">
        <f>F74*3</f>
        <v>68208</v>
      </c>
    </row>
    <row r="75" spans="1:7" x14ac:dyDescent="0.25">
      <c r="A75" s="71">
        <v>60</v>
      </c>
      <c r="B75" s="67">
        <f>($A75-1)*$B$5</f>
        <v>1.77</v>
      </c>
      <c r="C75" s="67">
        <f>($A75-1)*$B$5</f>
        <v>1.77</v>
      </c>
      <c r="D75" s="47">
        <f>MIN(($A75-1)*$B$6,30*$B$6)+MAX(0,$A75-31)*$B$7</f>
        <v>0.17899999999999999</v>
      </c>
      <c r="E75" s="68">
        <f>IF($A75&gt;=$B$10,"최대",$B$8+$B$9*($A75-1))</f>
        <v>758</v>
      </c>
      <c r="F75" s="68">
        <f>F74+E74</f>
        <v>23482</v>
      </c>
      <c r="G75" s="68">
        <f>F75*3</f>
        <v>70446</v>
      </c>
    </row>
    <row r="76" spans="1:7" x14ac:dyDescent="0.25">
      <c r="A76" s="71">
        <v>61</v>
      </c>
      <c r="B76" s="67">
        <f>($A76-1)*$B$5</f>
        <v>1.7999999999999998</v>
      </c>
      <c r="C76" s="67">
        <f>($A76-1)*$B$5</f>
        <v>1.7999999999999998</v>
      </c>
      <c r="D76" s="47">
        <f>MIN(($A76-1)*$B$6,30*$B$6)+MAX(0,$A76-31)*$B$7</f>
        <v>0.18</v>
      </c>
      <c r="E76" s="68">
        <f>IF($A76&gt;=$B$10,"최대",$B$8+$B$9*($A76-1))</f>
        <v>770</v>
      </c>
      <c r="F76" s="68">
        <f>F75+E75</f>
        <v>24240</v>
      </c>
      <c r="G76" s="68">
        <f>F76*3</f>
        <v>72720</v>
      </c>
    </row>
    <row r="77" spans="1:7" x14ac:dyDescent="0.25">
      <c r="A77" s="71">
        <v>62</v>
      </c>
      <c r="B77" s="67">
        <f>($A77-1)*$B$5</f>
        <v>1.8299999999999998</v>
      </c>
      <c r="C77" s="67">
        <f>($A77-1)*$B$5</f>
        <v>1.8299999999999998</v>
      </c>
      <c r="D77" s="47">
        <f>MIN(($A77-1)*$B$6,30*$B$6)+MAX(0,$A77-31)*$B$7</f>
        <v>0.18099999999999999</v>
      </c>
      <c r="E77" s="68">
        <f>IF($A77&gt;=$B$10,"최대",$B$8+$B$9*($A77-1))</f>
        <v>782</v>
      </c>
      <c r="F77" s="68">
        <f>F76+E76</f>
        <v>25010</v>
      </c>
      <c r="G77" s="68">
        <f>F77*3</f>
        <v>75030</v>
      </c>
    </row>
    <row r="78" spans="1:7" x14ac:dyDescent="0.25">
      <c r="A78" s="71">
        <v>63</v>
      </c>
      <c r="B78" s="67">
        <f>($A78-1)*$B$5</f>
        <v>1.8599999999999999</v>
      </c>
      <c r="C78" s="67">
        <f>($A78-1)*$B$5</f>
        <v>1.8599999999999999</v>
      </c>
      <c r="D78" s="47">
        <f>MIN(($A78-1)*$B$6,30*$B$6)+MAX(0,$A78-31)*$B$7</f>
        <v>0.182</v>
      </c>
      <c r="E78" s="68">
        <f>IF($A78&gt;=$B$10,"최대",$B$8+$B$9*($A78-1))</f>
        <v>794</v>
      </c>
      <c r="F78" s="68">
        <f>F77+E77</f>
        <v>25792</v>
      </c>
      <c r="G78" s="68">
        <f>F78*3</f>
        <v>77376</v>
      </c>
    </row>
    <row r="79" spans="1:7" x14ac:dyDescent="0.25">
      <c r="A79" s="71">
        <v>64</v>
      </c>
      <c r="B79" s="67">
        <f>($A79-1)*$B$5</f>
        <v>1.89</v>
      </c>
      <c r="C79" s="67">
        <f>($A79-1)*$B$5</f>
        <v>1.89</v>
      </c>
      <c r="D79" s="47">
        <f>MIN(($A79-1)*$B$6,30*$B$6)+MAX(0,$A79-31)*$B$7</f>
        <v>0.183</v>
      </c>
      <c r="E79" s="68">
        <f>IF($A79&gt;=$B$10,"최대",$B$8+$B$9*($A79-1))</f>
        <v>806</v>
      </c>
      <c r="F79" s="68">
        <f>F78+E78</f>
        <v>26586</v>
      </c>
      <c r="G79" s="68">
        <f>F79*3</f>
        <v>79758</v>
      </c>
    </row>
    <row r="80" spans="1:7" x14ac:dyDescent="0.25">
      <c r="A80" s="71">
        <v>65</v>
      </c>
      <c r="B80" s="67">
        <f>($A80-1)*$B$5</f>
        <v>1.92</v>
      </c>
      <c r="C80" s="67">
        <f>($A80-1)*$B$5</f>
        <v>1.92</v>
      </c>
      <c r="D80" s="47">
        <f>MIN(($A80-1)*$B$6,30*$B$6)+MAX(0,$A80-31)*$B$7</f>
        <v>0.184</v>
      </c>
      <c r="E80" s="68">
        <f>IF($A80&gt;=$B$10,"최대",$B$8+$B$9*($A80-1))</f>
        <v>818</v>
      </c>
      <c r="F80" s="68">
        <f>F79+E79</f>
        <v>27392</v>
      </c>
      <c r="G80" s="68">
        <f>F80*3</f>
        <v>82176</v>
      </c>
    </row>
    <row r="81" spans="1:7" x14ac:dyDescent="0.25">
      <c r="A81" s="71">
        <v>66</v>
      </c>
      <c r="B81" s="67">
        <f>($A81-1)*$B$5</f>
        <v>1.95</v>
      </c>
      <c r="C81" s="67">
        <f>($A81-1)*$B$5</f>
        <v>1.95</v>
      </c>
      <c r="D81" s="47">
        <f>MIN(($A81-1)*$B$6,30*$B$6)+MAX(0,$A81-31)*$B$7</f>
        <v>0.185</v>
      </c>
      <c r="E81" s="68">
        <f>IF($A81&gt;=$B$10,"최대",$B$8+$B$9*($A81-1))</f>
        <v>830</v>
      </c>
      <c r="F81" s="68">
        <f>F80+E80</f>
        <v>28210</v>
      </c>
      <c r="G81" s="68">
        <f>F81*3</f>
        <v>84630</v>
      </c>
    </row>
    <row r="82" spans="1:7" x14ac:dyDescent="0.25">
      <c r="A82" s="71">
        <v>67</v>
      </c>
      <c r="B82" s="67">
        <f>($A82-1)*$B$5</f>
        <v>1.98</v>
      </c>
      <c r="C82" s="67">
        <f>($A82-1)*$B$5</f>
        <v>1.98</v>
      </c>
      <c r="D82" s="47">
        <f>MIN(($A82-1)*$B$6,30*$B$6)+MAX(0,$A82-31)*$B$7</f>
        <v>0.186</v>
      </c>
      <c r="E82" s="68">
        <f>IF($A82&gt;=$B$10,"최대",$B$8+$B$9*($A82-1))</f>
        <v>842</v>
      </c>
      <c r="F82" s="68">
        <f>F81+E81</f>
        <v>29040</v>
      </c>
      <c r="G82" s="68">
        <f>F82*3</f>
        <v>87120</v>
      </c>
    </row>
    <row r="83" spans="1:7" x14ac:dyDescent="0.25">
      <c r="A83" s="71">
        <v>68</v>
      </c>
      <c r="B83" s="67">
        <f>($A83-1)*$B$5</f>
        <v>2.0099999999999998</v>
      </c>
      <c r="C83" s="67">
        <f>($A83-1)*$B$5</f>
        <v>2.0099999999999998</v>
      </c>
      <c r="D83" s="47">
        <f>MIN(($A83-1)*$B$6,30*$B$6)+MAX(0,$A83-31)*$B$7</f>
        <v>0.187</v>
      </c>
      <c r="E83" s="68">
        <f>IF($A83&gt;=$B$10,"최대",$B$8+$B$9*($A83-1))</f>
        <v>854</v>
      </c>
      <c r="F83" s="68">
        <f>F82+E82</f>
        <v>29882</v>
      </c>
      <c r="G83" s="68">
        <f>F83*3</f>
        <v>89646</v>
      </c>
    </row>
    <row r="84" spans="1:7" x14ac:dyDescent="0.25">
      <c r="A84" s="71">
        <v>69</v>
      </c>
      <c r="B84" s="67">
        <f>($A84-1)*$B$5</f>
        <v>2.04</v>
      </c>
      <c r="C84" s="67">
        <f>($A84-1)*$B$5</f>
        <v>2.04</v>
      </c>
      <c r="D84" s="47">
        <f>MIN(($A84-1)*$B$6,30*$B$6)+MAX(0,$A84-31)*$B$7</f>
        <v>0.188</v>
      </c>
      <c r="E84" s="68">
        <f>IF($A84&gt;=$B$10,"최대",$B$8+$B$9*($A84-1))</f>
        <v>866</v>
      </c>
      <c r="F84" s="68">
        <f>F83+E83</f>
        <v>30736</v>
      </c>
      <c r="G84" s="68">
        <f>F84*3</f>
        <v>92208</v>
      </c>
    </row>
    <row r="85" spans="1:7" x14ac:dyDescent="0.25">
      <c r="A85" s="71">
        <v>70</v>
      </c>
      <c r="B85" s="67">
        <f>($A85-1)*$B$5</f>
        <v>2.0699999999999998</v>
      </c>
      <c r="C85" s="67">
        <f>($A85-1)*$B$5</f>
        <v>2.0699999999999998</v>
      </c>
      <c r="D85" s="47">
        <f>MIN(($A85-1)*$B$6,30*$B$6)+MAX(0,$A85-31)*$B$7</f>
        <v>0.189</v>
      </c>
      <c r="E85" s="68">
        <f>IF($A85&gt;=$B$10,"최대",$B$8+$B$9*($A85-1))</f>
        <v>878</v>
      </c>
      <c r="F85" s="68">
        <f>F84+E84</f>
        <v>31602</v>
      </c>
      <c r="G85" s="68">
        <f>F85*3</f>
        <v>94806</v>
      </c>
    </row>
    <row r="86" spans="1:7" x14ac:dyDescent="0.25">
      <c r="A86" s="71">
        <v>71</v>
      </c>
      <c r="B86" s="67">
        <f>($A86-1)*$B$5</f>
        <v>2.1</v>
      </c>
      <c r="C86" s="67">
        <f>($A86-1)*$B$5</f>
        <v>2.1</v>
      </c>
      <c r="D86" s="47">
        <f>MIN(($A86-1)*$B$6,30*$B$6)+MAX(0,$A86-31)*$B$7</f>
        <v>0.19</v>
      </c>
      <c r="E86" s="68">
        <f>IF($A86&gt;=$B$10,"최대",$B$8+$B$9*($A86-1))</f>
        <v>890</v>
      </c>
      <c r="F86" s="68">
        <f>F85+E85</f>
        <v>32480</v>
      </c>
      <c r="G86" s="68">
        <f>F86*3</f>
        <v>97440</v>
      </c>
    </row>
    <row r="87" spans="1:7" x14ac:dyDescent="0.25">
      <c r="A87" s="71">
        <v>72</v>
      </c>
      <c r="B87" s="67">
        <f>($A87-1)*$B$5</f>
        <v>2.13</v>
      </c>
      <c r="C87" s="67">
        <f>($A87-1)*$B$5</f>
        <v>2.13</v>
      </c>
      <c r="D87" s="47">
        <f>MIN(($A87-1)*$B$6,30*$B$6)+MAX(0,$A87-31)*$B$7</f>
        <v>0.191</v>
      </c>
      <c r="E87" s="68">
        <f>IF($A87&gt;=$B$10,"최대",$B$8+$B$9*($A87-1))</f>
        <v>902</v>
      </c>
      <c r="F87" s="68">
        <f>F86+E86</f>
        <v>33370</v>
      </c>
      <c r="G87" s="68">
        <f>F87*3</f>
        <v>100110</v>
      </c>
    </row>
    <row r="88" spans="1:7" x14ac:dyDescent="0.25">
      <c r="A88" s="71">
        <v>73</v>
      </c>
      <c r="B88" s="67">
        <f>($A88-1)*$B$5</f>
        <v>2.16</v>
      </c>
      <c r="C88" s="67">
        <f>($A88-1)*$B$5</f>
        <v>2.16</v>
      </c>
      <c r="D88" s="47">
        <f>MIN(($A88-1)*$B$6,30*$B$6)+MAX(0,$A88-31)*$B$7</f>
        <v>0.192</v>
      </c>
      <c r="E88" s="68">
        <f>IF($A88&gt;=$B$10,"최대",$B$8+$B$9*($A88-1))</f>
        <v>914</v>
      </c>
      <c r="F88" s="68">
        <f>F87+E87</f>
        <v>34272</v>
      </c>
      <c r="G88" s="68">
        <f>F88*3</f>
        <v>102816</v>
      </c>
    </row>
    <row r="89" spans="1:7" x14ac:dyDescent="0.25">
      <c r="A89" s="71">
        <v>74</v>
      </c>
      <c r="B89" s="67">
        <f>($A89-1)*$B$5</f>
        <v>2.19</v>
      </c>
      <c r="C89" s="67">
        <f>($A89-1)*$B$5</f>
        <v>2.19</v>
      </c>
      <c r="D89" s="47">
        <f>MIN(($A89-1)*$B$6,30*$B$6)+MAX(0,$A89-31)*$B$7</f>
        <v>0.193</v>
      </c>
      <c r="E89" s="68">
        <f>IF($A89&gt;=$B$10,"최대",$B$8+$B$9*($A89-1))</f>
        <v>926</v>
      </c>
      <c r="F89" s="68">
        <f>F88+E88</f>
        <v>35186</v>
      </c>
      <c r="G89" s="68">
        <f>F89*3</f>
        <v>105558</v>
      </c>
    </row>
    <row r="90" spans="1:7" x14ac:dyDescent="0.25">
      <c r="A90" s="71">
        <v>75</v>
      </c>
      <c r="B90" s="67">
        <f>($A90-1)*$B$5</f>
        <v>2.2199999999999998</v>
      </c>
      <c r="C90" s="67">
        <f>($A90-1)*$B$5</f>
        <v>2.2199999999999998</v>
      </c>
      <c r="D90" s="47">
        <f>MIN(($A90-1)*$B$6,30*$B$6)+MAX(0,$A90-31)*$B$7</f>
        <v>0.19400000000000001</v>
      </c>
      <c r="E90" s="68">
        <f>IF($A90&gt;=$B$10,"최대",$B$8+$B$9*($A90-1))</f>
        <v>938</v>
      </c>
      <c r="F90" s="68">
        <f>F89+E89</f>
        <v>36112</v>
      </c>
      <c r="G90" s="68">
        <f>F90*3</f>
        <v>108336</v>
      </c>
    </row>
    <row r="91" spans="1:7" x14ac:dyDescent="0.25">
      <c r="A91" s="71">
        <v>76</v>
      </c>
      <c r="B91" s="67">
        <f>($A91-1)*$B$5</f>
        <v>2.25</v>
      </c>
      <c r="C91" s="67">
        <f>($A91-1)*$B$5</f>
        <v>2.25</v>
      </c>
      <c r="D91" s="47">
        <f>MIN(($A91-1)*$B$6,30*$B$6)+MAX(0,$A91-31)*$B$7</f>
        <v>0.19500000000000001</v>
      </c>
      <c r="E91" s="68">
        <f>IF($A91&gt;=$B$10,"최대",$B$8+$B$9*($A91-1))</f>
        <v>950</v>
      </c>
      <c r="F91" s="68">
        <f>F90+E90</f>
        <v>37050</v>
      </c>
      <c r="G91" s="68">
        <f>F91*3</f>
        <v>111150</v>
      </c>
    </row>
    <row r="92" spans="1:7" x14ac:dyDescent="0.25">
      <c r="A92" s="71">
        <v>77</v>
      </c>
      <c r="B92" s="67">
        <f>($A92-1)*$B$5</f>
        <v>2.2799999999999998</v>
      </c>
      <c r="C92" s="67">
        <f>($A92-1)*$B$5</f>
        <v>2.2799999999999998</v>
      </c>
      <c r="D92" s="47">
        <f>MIN(($A92-1)*$B$6,30*$B$6)+MAX(0,$A92-31)*$B$7</f>
        <v>0.19600000000000001</v>
      </c>
      <c r="E92" s="68">
        <f>IF($A92&gt;=$B$10,"최대",$B$8+$B$9*($A92-1))</f>
        <v>962</v>
      </c>
      <c r="F92" s="68">
        <f>F91+E91</f>
        <v>38000</v>
      </c>
      <c r="G92" s="68">
        <f>F92*3</f>
        <v>114000</v>
      </c>
    </row>
    <row r="93" spans="1:7" x14ac:dyDescent="0.25">
      <c r="A93" s="71">
        <v>78</v>
      </c>
      <c r="B93" s="67">
        <f>($A93-1)*$B$5</f>
        <v>2.31</v>
      </c>
      <c r="C93" s="67">
        <f>($A93-1)*$B$5</f>
        <v>2.31</v>
      </c>
      <c r="D93" s="47">
        <f>MIN(($A93-1)*$B$6,30*$B$6)+MAX(0,$A93-31)*$B$7</f>
        <v>0.19700000000000001</v>
      </c>
      <c r="E93" s="68">
        <f>IF($A93&gt;=$B$10,"최대",$B$8+$B$9*($A93-1))</f>
        <v>974</v>
      </c>
      <c r="F93" s="68">
        <f>F92+E92</f>
        <v>38962</v>
      </c>
      <c r="G93" s="68">
        <f>F93*3</f>
        <v>116886</v>
      </c>
    </row>
    <row r="94" spans="1:7" x14ac:dyDescent="0.25">
      <c r="A94" s="71">
        <v>79</v>
      </c>
      <c r="B94" s="67">
        <f>($A94-1)*$B$5</f>
        <v>2.34</v>
      </c>
      <c r="C94" s="67">
        <f>($A94-1)*$B$5</f>
        <v>2.34</v>
      </c>
      <c r="D94" s="47">
        <f>MIN(($A94-1)*$B$6,30*$B$6)+MAX(0,$A94-31)*$B$7</f>
        <v>0.19800000000000001</v>
      </c>
      <c r="E94" s="68">
        <f>IF($A94&gt;=$B$10,"최대",$B$8+$B$9*($A94-1))</f>
        <v>986</v>
      </c>
      <c r="F94" s="68">
        <f>F93+E93</f>
        <v>39936</v>
      </c>
      <c r="G94" s="68">
        <f>F94*3</f>
        <v>119808</v>
      </c>
    </row>
    <row r="95" spans="1:7" x14ac:dyDescent="0.25">
      <c r="A95" s="71">
        <v>80</v>
      </c>
      <c r="B95" s="67">
        <f>($A95-1)*$B$5</f>
        <v>2.37</v>
      </c>
      <c r="C95" s="67">
        <f>($A95-1)*$B$5</f>
        <v>2.37</v>
      </c>
      <c r="D95" s="47">
        <f>MIN(($A95-1)*$B$6,30*$B$6)+MAX(0,$A95-31)*$B$7</f>
        <v>0.19900000000000001</v>
      </c>
      <c r="E95" s="68">
        <f>IF($A95&gt;=$B$10,"최대",$B$8+$B$9*($A95-1))</f>
        <v>998</v>
      </c>
      <c r="F95" s="68">
        <f>F94+E94</f>
        <v>40922</v>
      </c>
      <c r="G95" s="68">
        <f>F95*3</f>
        <v>122766</v>
      </c>
    </row>
    <row r="96" spans="1:7" x14ac:dyDescent="0.25">
      <c r="A96" s="71">
        <v>81</v>
      </c>
      <c r="B96" s="67">
        <f>($A96-1)*$B$5</f>
        <v>2.4</v>
      </c>
      <c r="C96" s="67">
        <f>($A96-1)*$B$5</f>
        <v>2.4</v>
      </c>
      <c r="D96" s="47">
        <f>MIN(($A96-1)*$B$6,30*$B$6)+MAX(0,$A96-31)*$B$7</f>
        <v>0.2</v>
      </c>
      <c r="E96" s="68">
        <f>IF($A96&gt;=$B$10,"최대",$B$8+$B$9*($A96-1))</f>
        <v>1010</v>
      </c>
      <c r="F96" s="68">
        <f>F95+E95</f>
        <v>41920</v>
      </c>
      <c r="G96" s="68">
        <f>F96*3</f>
        <v>125760</v>
      </c>
    </row>
    <row r="97" spans="1:7" x14ac:dyDescent="0.25">
      <c r="A97" s="71">
        <v>82</v>
      </c>
      <c r="B97" s="67">
        <f>($A97-1)*$B$5</f>
        <v>2.4299999999999997</v>
      </c>
      <c r="C97" s="67">
        <f>($A97-1)*$B$5</f>
        <v>2.4299999999999997</v>
      </c>
      <c r="D97" s="47">
        <f>MIN(($A97-1)*$B$6,30*$B$6)+MAX(0,$A97-31)*$B$7</f>
        <v>0.20100000000000001</v>
      </c>
      <c r="E97" s="68">
        <f>IF($A97&gt;=$B$10,"최대",$B$8+$B$9*($A97-1))</f>
        <v>1022</v>
      </c>
      <c r="F97" s="68">
        <f>F96+E96</f>
        <v>42930</v>
      </c>
      <c r="G97" s="68">
        <f>F97*3</f>
        <v>128790</v>
      </c>
    </row>
    <row r="98" spans="1:7" x14ac:dyDescent="0.25">
      <c r="A98" s="71">
        <v>83</v>
      </c>
      <c r="B98" s="67">
        <f>($A98-1)*$B$5</f>
        <v>2.46</v>
      </c>
      <c r="C98" s="67">
        <f>($A98-1)*$B$5</f>
        <v>2.46</v>
      </c>
      <c r="D98" s="47">
        <f>MIN(($A98-1)*$B$6,30*$B$6)+MAX(0,$A98-31)*$B$7</f>
        <v>0.20200000000000001</v>
      </c>
      <c r="E98" s="68">
        <f>IF($A98&gt;=$B$10,"최대",$B$8+$B$9*($A98-1))</f>
        <v>1034</v>
      </c>
      <c r="F98" s="68">
        <f>F97+E97</f>
        <v>43952</v>
      </c>
      <c r="G98" s="68">
        <f>F98*3</f>
        <v>131856</v>
      </c>
    </row>
    <row r="99" spans="1:7" x14ac:dyDescent="0.25">
      <c r="A99" s="71">
        <v>84</v>
      </c>
      <c r="B99" s="67">
        <f>($A99-1)*$B$5</f>
        <v>2.4899999999999998</v>
      </c>
      <c r="C99" s="67">
        <f>($A99-1)*$B$5</f>
        <v>2.4899999999999998</v>
      </c>
      <c r="D99" s="47">
        <f>MIN(($A99-1)*$B$6,30*$B$6)+MAX(0,$A99-31)*$B$7</f>
        <v>0.20299999999999999</v>
      </c>
      <c r="E99" s="68">
        <f>IF($A99&gt;=$B$10,"최대",$B$8+$B$9*($A99-1))</f>
        <v>1046</v>
      </c>
      <c r="F99" s="68">
        <f>F98+E98</f>
        <v>44986</v>
      </c>
      <c r="G99" s="68">
        <f>F99*3</f>
        <v>134958</v>
      </c>
    </row>
    <row r="100" spans="1:7" x14ac:dyDescent="0.25">
      <c r="A100" s="71">
        <v>85</v>
      </c>
      <c r="B100" s="67">
        <f>($A100-1)*$B$5</f>
        <v>2.52</v>
      </c>
      <c r="C100" s="67">
        <f>($A100-1)*$B$5</f>
        <v>2.52</v>
      </c>
      <c r="D100" s="47">
        <f>MIN(($A100-1)*$B$6,30*$B$6)+MAX(0,$A100-31)*$B$7</f>
        <v>0.20399999999999999</v>
      </c>
      <c r="E100" s="68">
        <f>IF($A100&gt;=$B$10,"최대",$B$8+$B$9*($A100-1))</f>
        <v>1058</v>
      </c>
      <c r="F100" s="68">
        <f>F99+E99</f>
        <v>46032</v>
      </c>
      <c r="G100" s="68">
        <f>F100*3</f>
        <v>138096</v>
      </c>
    </row>
    <row r="101" spans="1:7" x14ac:dyDescent="0.25">
      <c r="A101" s="71">
        <v>86</v>
      </c>
      <c r="B101" s="67">
        <f>($A101-1)*$B$5</f>
        <v>2.5499999999999998</v>
      </c>
      <c r="C101" s="67">
        <f>($A101-1)*$B$5</f>
        <v>2.5499999999999998</v>
      </c>
      <c r="D101" s="47">
        <f>MIN(($A101-1)*$B$6,30*$B$6)+MAX(0,$A101-31)*$B$7</f>
        <v>0.20499999999999999</v>
      </c>
      <c r="E101" s="68">
        <f>IF($A101&gt;=$B$10,"최대",$B$8+$B$9*($A101-1))</f>
        <v>1070</v>
      </c>
      <c r="F101" s="68">
        <f>F100+E100</f>
        <v>47090</v>
      </c>
      <c r="G101" s="68">
        <f>F101*3</f>
        <v>141270</v>
      </c>
    </row>
    <row r="102" spans="1:7" x14ac:dyDescent="0.25">
      <c r="A102" s="71">
        <v>87</v>
      </c>
      <c r="B102" s="67">
        <f>($A102-1)*$B$5</f>
        <v>2.58</v>
      </c>
      <c r="C102" s="67">
        <f>($A102-1)*$B$5</f>
        <v>2.58</v>
      </c>
      <c r="D102" s="47">
        <f>MIN(($A102-1)*$B$6,30*$B$6)+MAX(0,$A102-31)*$B$7</f>
        <v>0.20599999999999999</v>
      </c>
      <c r="E102" s="68">
        <f>IF($A102&gt;=$B$10,"최대",$B$8+$B$9*($A102-1))</f>
        <v>1082</v>
      </c>
      <c r="F102" s="68">
        <f>F101+E101</f>
        <v>48160</v>
      </c>
      <c r="G102" s="68">
        <f>F102*3</f>
        <v>144480</v>
      </c>
    </row>
    <row r="103" spans="1:7" x14ac:dyDescent="0.25">
      <c r="A103" s="71">
        <v>88</v>
      </c>
      <c r="B103" s="67">
        <f>($A103-1)*$B$5</f>
        <v>2.61</v>
      </c>
      <c r="C103" s="67">
        <f>($A103-1)*$B$5</f>
        <v>2.61</v>
      </c>
      <c r="D103" s="47">
        <f>MIN(($A103-1)*$B$6,30*$B$6)+MAX(0,$A103-31)*$B$7</f>
        <v>0.20699999999999999</v>
      </c>
      <c r="E103" s="68">
        <f>IF($A103&gt;=$B$10,"최대",$B$8+$B$9*($A103-1))</f>
        <v>1094</v>
      </c>
      <c r="F103" s="68">
        <f>F102+E102</f>
        <v>49242</v>
      </c>
      <c r="G103" s="68">
        <f>F103*3</f>
        <v>147726</v>
      </c>
    </row>
    <row r="104" spans="1:7" x14ac:dyDescent="0.25">
      <c r="A104" s="71">
        <v>89</v>
      </c>
      <c r="B104" s="67">
        <f>($A104-1)*$B$5</f>
        <v>2.6399999999999997</v>
      </c>
      <c r="C104" s="67">
        <f>($A104-1)*$B$5</f>
        <v>2.6399999999999997</v>
      </c>
      <c r="D104" s="47">
        <f>MIN(($A104-1)*$B$6,30*$B$6)+MAX(0,$A104-31)*$B$7</f>
        <v>0.20799999999999999</v>
      </c>
      <c r="E104" s="68">
        <f>IF($A104&gt;=$B$10,"최대",$B$8+$B$9*($A104-1))</f>
        <v>1106</v>
      </c>
      <c r="F104" s="68">
        <f>F103+E103</f>
        <v>50336</v>
      </c>
      <c r="G104" s="68">
        <f>F104*3</f>
        <v>151008</v>
      </c>
    </row>
    <row r="105" spans="1:7" x14ac:dyDescent="0.25">
      <c r="A105" s="71">
        <v>90</v>
      </c>
      <c r="B105" s="67">
        <f>($A105-1)*$B$5</f>
        <v>2.67</v>
      </c>
      <c r="C105" s="67">
        <f>($A105-1)*$B$5</f>
        <v>2.67</v>
      </c>
      <c r="D105" s="47">
        <f>MIN(($A105-1)*$B$6,30*$B$6)+MAX(0,$A105-31)*$B$7</f>
        <v>0.20899999999999999</v>
      </c>
      <c r="E105" s="68">
        <f>IF($A105&gt;=$B$10,"최대",$B$8+$B$9*($A105-1))</f>
        <v>1118</v>
      </c>
      <c r="F105" s="68">
        <f>F104+E104</f>
        <v>51442</v>
      </c>
      <c r="G105" s="68">
        <f>F105*3</f>
        <v>154326</v>
      </c>
    </row>
    <row r="106" spans="1:7" x14ac:dyDescent="0.25">
      <c r="A106" s="71">
        <v>91</v>
      </c>
      <c r="B106" s="67">
        <f>($A106-1)*$B$5</f>
        <v>2.6999999999999997</v>
      </c>
      <c r="C106" s="67">
        <f>($A106-1)*$B$5</f>
        <v>2.6999999999999997</v>
      </c>
      <c r="D106" s="47">
        <f>MIN(($A106-1)*$B$6,30*$B$6)+MAX(0,$A106-31)*$B$7</f>
        <v>0.21</v>
      </c>
      <c r="E106" s="68">
        <f>IF($A106&gt;=$B$10,"최대",$B$8+$B$9*($A106-1))</f>
        <v>1130</v>
      </c>
      <c r="F106" s="68">
        <f>F105+E105</f>
        <v>52560</v>
      </c>
      <c r="G106" s="68">
        <f>F106*3</f>
        <v>157680</v>
      </c>
    </row>
    <row r="107" spans="1:7" x14ac:dyDescent="0.25">
      <c r="A107" s="71">
        <v>92</v>
      </c>
      <c r="B107" s="67">
        <f>($A107-1)*$B$5</f>
        <v>2.73</v>
      </c>
      <c r="C107" s="67">
        <f>($A107-1)*$B$5</f>
        <v>2.73</v>
      </c>
      <c r="D107" s="47">
        <f>MIN(($A107-1)*$B$6,30*$B$6)+MAX(0,$A107-31)*$B$7</f>
        <v>0.21099999999999999</v>
      </c>
      <c r="E107" s="68">
        <f>IF($A107&gt;=$B$10,"최대",$B$8+$B$9*($A107-1))</f>
        <v>1142</v>
      </c>
      <c r="F107" s="68">
        <f>F106+E106</f>
        <v>53690</v>
      </c>
      <c r="G107" s="68">
        <f>F107*3</f>
        <v>161070</v>
      </c>
    </row>
    <row r="108" spans="1:7" x14ac:dyDescent="0.25">
      <c r="A108" s="71">
        <v>93</v>
      </c>
      <c r="B108" s="67">
        <f>($A108-1)*$B$5</f>
        <v>2.76</v>
      </c>
      <c r="C108" s="67">
        <f>($A108-1)*$B$5</f>
        <v>2.76</v>
      </c>
      <c r="D108" s="47">
        <f>MIN(($A108-1)*$B$6,30*$B$6)+MAX(0,$A108-31)*$B$7</f>
        <v>0.21199999999999999</v>
      </c>
      <c r="E108" s="68">
        <f>IF($A108&gt;=$B$10,"최대",$B$8+$B$9*($A108-1))</f>
        <v>1154</v>
      </c>
      <c r="F108" s="68">
        <f>F107+E107</f>
        <v>54832</v>
      </c>
      <c r="G108" s="68">
        <f>F108*3</f>
        <v>164496</v>
      </c>
    </row>
    <row r="109" spans="1:7" x14ac:dyDescent="0.25">
      <c r="A109" s="71">
        <v>94</v>
      </c>
      <c r="B109" s="67">
        <f>($A109-1)*$B$5</f>
        <v>2.79</v>
      </c>
      <c r="C109" s="67">
        <f>($A109-1)*$B$5</f>
        <v>2.79</v>
      </c>
      <c r="D109" s="47">
        <f>MIN(($A109-1)*$B$6,30*$B$6)+MAX(0,$A109-31)*$B$7</f>
        <v>0.21299999999999999</v>
      </c>
      <c r="E109" s="68">
        <f>IF($A109&gt;=$B$10,"최대",$B$8+$B$9*($A109-1))</f>
        <v>1166</v>
      </c>
      <c r="F109" s="68">
        <f>F108+E108</f>
        <v>55986</v>
      </c>
      <c r="G109" s="68">
        <f>F109*3</f>
        <v>167958</v>
      </c>
    </row>
    <row r="110" spans="1:7" x14ac:dyDescent="0.25">
      <c r="A110" s="71">
        <v>95</v>
      </c>
      <c r="B110" s="67">
        <f>($A110-1)*$B$5</f>
        <v>2.82</v>
      </c>
      <c r="C110" s="67">
        <f>($A110-1)*$B$5</f>
        <v>2.82</v>
      </c>
      <c r="D110" s="47">
        <f>MIN(($A110-1)*$B$6,30*$B$6)+MAX(0,$A110-31)*$B$7</f>
        <v>0.214</v>
      </c>
      <c r="E110" s="68">
        <f>IF($A110&gt;=$B$10,"최대",$B$8+$B$9*($A110-1))</f>
        <v>1178</v>
      </c>
      <c r="F110" s="68">
        <f>F109+E109</f>
        <v>57152</v>
      </c>
      <c r="G110" s="68">
        <f>F110*3</f>
        <v>171456</v>
      </c>
    </row>
    <row r="111" spans="1:7" x14ac:dyDescent="0.25">
      <c r="A111" s="71">
        <v>96</v>
      </c>
      <c r="B111" s="67">
        <f>($A111-1)*$B$5</f>
        <v>2.85</v>
      </c>
      <c r="C111" s="67">
        <f>($A111-1)*$B$5</f>
        <v>2.85</v>
      </c>
      <c r="D111" s="47">
        <f>MIN(($A111-1)*$B$6,30*$B$6)+MAX(0,$A111-31)*$B$7</f>
        <v>0.215</v>
      </c>
      <c r="E111" s="68">
        <f>IF($A111&gt;=$B$10,"최대",$B$8+$B$9*($A111-1))</f>
        <v>1190</v>
      </c>
      <c r="F111" s="68">
        <f>F110+E110</f>
        <v>58330</v>
      </c>
      <c r="G111" s="68">
        <f>F111*3</f>
        <v>174990</v>
      </c>
    </row>
    <row r="112" spans="1:7" x14ac:dyDescent="0.25">
      <c r="A112" s="71">
        <v>97</v>
      </c>
      <c r="B112" s="67">
        <f>($A112-1)*$B$5</f>
        <v>2.88</v>
      </c>
      <c r="C112" s="67">
        <f>($A112-1)*$B$5</f>
        <v>2.88</v>
      </c>
      <c r="D112" s="47">
        <f>MIN(($A112-1)*$B$6,30*$B$6)+MAX(0,$A112-31)*$B$7</f>
        <v>0.216</v>
      </c>
      <c r="E112" s="68">
        <f>IF($A112&gt;=$B$10,"최대",$B$8+$B$9*($A112-1))</f>
        <v>1202</v>
      </c>
      <c r="F112" s="68">
        <f>F111+E111</f>
        <v>59520</v>
      </c>
      <c r="G112" s="68">
        <f>F112*3</f>
        <v>178560</v>
      </c>
    </row>
    <row r="113" spans="1:7" x14ac:dyDescent="0.25">
      <c r="A113" s="71">
        <v>98</v>
      </c>
      <c r="B113" s="67">
        <f>($A113-1)*$B$5</f>
        <v>2.9099999999999997</v>
      </c>
      <c r="C113" s="67">
        <f>($A113-1)*$B$5</f>
        <v>2.9099999999999997</v>
      </c>
      <c r="D113" s="47">
        <f>MIN(($A113-1)*$B$6,30*$B$6)+MAX(0,$A113-31)*$B$7</f>
        <v>0.217</v>
      </c>
      <c r="E113" s="68">
        <f>IF($A113&gt;=$B$10,"최대",$B$8+$B$9*($A113-1))</f>
        <v>1214</v>
      </c>
      <c r="F113" s="68">
        <f>F112+E112</f>
        <v>60722</v>
      </c>
      <c r="G113" s="68">
        <f>F113*3</f>
        <v>182166</v>
      </c>
    </row>
    <row r="114" spans="1:7" x14ac:dyDescent="0.25">
      <c r="A114" s="71">
        <v>99</v>
      </c>
      <c r="B114" s="67">
        <f>($A114-1)*$B$5</f>
        <v>2.94</v>
      </c>
      <c r="C114" s="67">
        <f>($A114-1)*$B$5</f>
        <v>2.94</v>
      </c>
      <c r="D114" s="47">
        <f>MIN(($A114-1)*$B$6,30*$B$6)+MAX(0,$A114-31)*$B$7</f>
        <v>0.218</v>
      </c>
      <c r="E114" s="68">
        <f>IF($A114&gt;=$B$10,"최대",$B$8+$B$9*($A114-1))</f>
        <v>1226</v>
      </c>
      <c r="F114" s="68">
        <f>F113+E113</f>
        <v>61936</v>
      </c>
      <c r="G114" s="68">
        <f>F114*3</f>
        <v>185808</v>
      </c>
    </row>
    <row r="115" spans="1:7" x14ac:dyDescent="0.25">
      <c r="A115" s="71">
        <v>100</v>
      </c>
      <c r="B115" s="67">
        <f>($A115-1)*$B$5</f>
        <v>2.9699999999999998</v>
      </c>
      <c r="C115" s="67">
        <f>($A115-1)*$B$5</f>
        <v>2.9699999999999998</v>
      </c>
      <c r="D115" s="47">
        <f>MIN(($A115-1)*$B$6,30*$B$6)+MAX(0,$A115-31)*$B$7</f>
        <v>0.219</v>
      </c>
      <c r="E115" s="68" t="str">
        <f>IF($A115&gt;=$B$10,"최대",$B$8+$B$9*($A115-1))</f>
        <v>최대</v>
      </c>
      <c r="F115" s="68">
        <f>F114+E114</f>
        <v>63162</v>
      </c>
      <c r="G115" s="68">
        <f>F115*3</f>
        <v>189486</v>
      </c>
    </row>
  </sheetData>
  <phoneticPr fontId="8" type="noConversion"/>
  <pageMargins left="0.7" right="0.7" top="0.75" bottom="0.75" header="0.3" footer="0.3"/>
  <pageSetup paperSize="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B9D1-BE7D-4AB5-AE95-10A80A1F01F7}">
  <sheetPr>
    <tabColor rgb="FFBF8F00"/>
    <pageSetUpPr fitToPage="1"/>
  </sheetPr>
  <dimension ref="A1:G37"/>
  <sheetViews>
    <sheetView showGridLines="0" zoomScaleNormal="100" workbookViewId="0"/>
  </sheetViews>
  <sheetFormatPr defaultRowHeight="13.5" x14ac:dyDescent="0.25"/>
  <cols>
    <col min="1" max="1" width="30.7109375" style="1" customWidth="1"/>
    <col min="2" max="2" width="12.7109375" style="1" customWidth="1"/>
    <col min="3" max="3" width="20.7109375" style="1" customWidth="1"/>
    <col min="4" max="6" width="12.7109375" style="1" customWidth="1"/>
    <col min="7" max="7" width="16.7109375" style="1" customWidth="1"/>
    <col min="8" max="16384" width="9.140625" style="1"/>
  </cols>
  <sheetData>
    <row r="1" spans="1:7" ht="26.25" x14ac:dyDescent="0.25">
      <c r="A1" s="2" t="s">
        <v>270</v>
      </c>
    </row>
    <row r="2" spans="1:7" x14ac:dyDescent="0.25">
      <c r="A2" s="3" t="s">
        <v>271</v>
      </c>
    </row>
    <row r="4" spans="1:7" ht="17.25" x14ac:dyDescent="0.25">
      <c r="A4" s="8" t="s">
        <v>272</v>
      </c>
    </row>
    <row r="5" spans="1:7" x14ac:dyDescent="0.25">
      <c r="A5" s="5" t="s">
        <v>273</v>
      </c>
      <c r="B5" s="63">
        <v>120</v>
      </c>
    </row>
    <row r="6" spans="1:7" x14ac:dyDescent="0.25">
      <c r="A6" s="5" t="s">
        <v>274</v>
      </c>
      <c r="B6" s="63">
        <v>10</v>
      </c>
    </row>
    <row r="7" spans="1:7" x14ac:dyDescent="0.25">
      <c r="A7" s="5" t="s">
        <v>275</v>
      </c>
      <c r="B7" s="63">
        <v>30</v>
      </c>
    </row>
    <row r="8" spans="1:7" x14ac:dyDescent="0.25">
      <c r="A8" s="5" t="s">
        <v>276</v>
      </c>
      <c r="B8" s="63">
        <v>60</v>
      </c>
    </row>
    <row r="9" spans="1:7" x14ac:dyDescent="0.25">
      <c r="A9" s="5" t="s">
        <v>277</v>
      </c>
      <c r="B9" s="63">
        <v>120</v>
      </c>
    </row>
    <row r="10" spans="1:7" x14ac:dyDescent="0.25">
      <c r="A10" s="5" t="s">
        <v>278</v>
      </c>
      <c r="B10" s="79">
        <v>0.8</v>
      </c>
    </row>
    <row r="11" spans="1:7" x14ac:dyDescent="0.25">
      <c r="A11" s="5" t="s">
        <v>279</v>
      </c>
      <c r="B11" s="79">
        <v>1</v>
      </c>
    </row>
    <row r="12" spans="1:7" x14ac:dyDescent="0.25">
      <c r="A12" s="5" t="s">
        <v>280</v>
      </c>
      <c r="B12" s="79">
        <v>2</v>
      </c>
    </row>
    <row r="13" spans="1:7" x14ac:dyDescent="0.25">
      <c r="A13" s="5" t="s">
        <v>281</v>
      </c>
      <c r="B13" s="21">
        <v>0.5</v>
      </c>
    </row>
    <row r="15" spans="1:7" ht="17.25" x14ac:dyDescent="0.25">
      <c r="A15" s="8" t="s">
        <v>282</v>
      </c>
    </row>
    <row r="16" spans="1:7" x14ac:dyDescent="0.25">
      <c r="A16" s="32" t="s">
        <v>261</v>
      </c>
      <c r="B16" s="32" t="s">
        <v>92</v>
      </c>
      <c r="C16" s="32" t="s">
        <v>186</v>
      </c>
      <c r="D16" s="32" t="s">
        <v>283</v>
      </c>
      <c r="E16" s="32" t="s">
        <v>284</v>
      </c>
      <c r="F16" s="32" t="s">
        <v>285</v>
      </c>
      <c r="G16" s="32" t="s">
        <v>286</v>
      </c>
    </row>
    <row r="17" spans="1:7" x14ac:dyDescent="0.25">
      <c r="A17" s="80" t="s">
        <v>287</v>
      </c>
      <c r="B17" s="9">
        <v>1</v>
      </c>
      <c r="C17" s="5" t="s">
        <v>288</v>
      </c>
      <c r="D17" s="68">
        <f>INT(($B$5+$B$6*($B17-1)+$B$7+IF(MOD($B17,5)=0,$B$8,0))*$B$10)</f>
        <v>120</v>
      </c>
      <c r="E17" s="68">
        <f>INT(($B$5+$B$6*($B17-1)+$B$7+IF(MOD($B17,5)=0,$B$8,0))*$B$11)</f>
        <v>150</v>
      </c>
      <c r="F17" s="68">
        <f>INT(($B$5+$B$6*($B17-1)+$B$7+IF(MOD($B17,5)=0,$B$8,0))*$B$12)</f>
        <v>300</v>
      </c>
      <c r="G17" s="68">
        <f>INT((IF($B17&lt;=2,INT(($B$5+$B$6*($B17-1))*0.6),$B$5+$B$6*($B17-1))+$B$7+IF(MOD($B17,5)=0,$B$8,0)+$B$9)*$B$11)</f>
        <v>222</v>
      </c>
    </row>
    <row r="18" spans="1:7" x14ac:dyDescent="0.25">
      <c r="A18" s="80" t="s">
        <v>289</v>
      </c>
      <c r="B18" s="9">
        <v>2</v>
      </c>
      <c r="C18" s="5" t="s">
        <v>290</v>
      </c>
      <c r="D18" s="68">
        <f>INT(($B$5+$B$6*($B18-1)+$B$7+IF(MOD($B18,5)=0,$B$8,0))*$B$10)</f>
        <v>128</v>
      </c>
      <c r="E18" s="68">
        <f>INT(($B$5+$B$6*($B18-1)+$B$7+IF(MOD($B18,5)=0,$B$8,0))*$B$11)</f>
        <v>160</v>
      </c>
      <c r="F18" s="68">
        <f>INT(($B$5+$B$6*($B18-1)+$B$7+IF(MOD($B18,5)=0,$B$8,0))*$B$12)</f>
        <v>320</v>
      </c>
      <c r="G18" s="68">
        <f>INT((IF($B18&lt;=2,INT(($B$5+$B$6*($B18-1))*0.6),$B$5+$B$6*($B18-1))+$B$7+IF(MOD($B18,5)=0,$B$8,0)+$B$9)*$B$11)</f>
        <v>228</v>
      </c>
    </row>
    <row r="19" spans="1:7" x14ac:dyDescent="0.25">
      <c r="A19" s="80" t="s">
        <v>291</v>
      </c>
      <c r="B19" s="9">
        <v>3</v>
      </c>
      <c r="C19" s="5" t="s">
        <v>292</v>
      </c>
      <c r="D19" s="68">
        <f>INT(($B$5+$B$6*($B19-1)+$B$7+IF(MOD($B19,5)=0,$B$8,0))*$B$10)</f>
        <v>136</v>
      </c>
      <c r="E19" s="68">
        <f>INT(($B$5+$B$6*($B19-1)+$B$7+IF(MOD($B19,5)=0,$B$8,0))*$B$11)</f>
        <v>170</v>
      </c>
      <c r="F19" s="68">
        <f>INT(($B$5+$B$6*($B19-1)+$B$7+IF(MOD($B19,5)=0,$B$8,0))*$B$12)</f>
        <v>340</v>
      </c>
      <c r="G19" s="68">
        <f>INT((IF($B19&lt;=2,INT(($B$5+$B$6*($B19-1))*0.6),$B$5+$B$6*($B19-1))+$B$7+IF(MOD($B19,5)=0,$B$8,0)+$B$9)*$B$11)</f>
        <v>290</v>
      </c>
    </row>
    <row r="20" spans="1:7" x14ac:dyDescent="0.25">
      <c r="A20" s="80" t="s">
        <v>293</v>
      </c>
      <c r="B20" s="9">
        <v>4</v>
      </c>
      <c r="C20" s="5" t="s">
        <v>294</v>
      </c>
      <c r="D20" s="68">
        <f>INT(($B$5+$B$6*($B20-1)+$B$7+IF(MOD($B20,5)=0,$B$8,0))*$B$10)</f>
        <v>144</v>
      </c>
      <c r="E20" s="68">
        <f>INT(($B$5+$B$6*($B20-1)+$B$7+IF(MOD($B20,5)=0,$B$8,0))*$B$11)</f>
        <v>180</v>
      </c>
      <c r="F20" s="68">
        <f>INT(($B$5+$B$6*($B20-1)+$B$7+IF(MOD($B20,5)=0,$B$8,0))*$B$12)</f>
        <v>360</v>
      </c>
      <c r="G20" s="68">
        <f>INT((IF($B20&lt;=2,INT(($B$5+$B$6*($B20-1))*0.6),$B$5+$B$6*($B20-1))+$B$7+IF(MOD($B20,5)=0,$B$8,0)+$B$9)*$B$11)</f>
        <v>300</v>
      </c>
    </row>
    <row r="21" spans="1:7" x14ac:dyDescent="0.25">
      <c r="A21" s="80" t="s">
        <v>295</v>
      </c>
      <c r="B21" s="9">
        <v>5</v>
      </c>
      <c r="C21" s="5" t="s">
        <v>296</v>
      </c>
      <c r="D21" s="68">
        <f>INT(($B$5+$B$6*($B21-1)+$B$7+IF(MOD($B21,5)=0,$B$8,0))*$B$10)</f>
        <v>200</v>
      </c>
      <c r="E21" s="68">
        <f>INT(($B$5+$B$6*($B21-1)+$B$7+IF(MOD($B21,5)=0,$B$8,0))*$B$11)</f>
        <v>250</v>
      </c>
      <c r="F21" s="68">
        <f>INT(($B$5+$B$6*($B21-1)+$B$7+IF(MOD($B21,5)=0,$B$8,0))*$B$12)</f>
        <v>500</v>
      </c>
      <c r="G21" s="68">
        <f>INT((IF($B21&lt;=2,INT(($B$5+$B$6*($B21-1))*0.6),$B$5+$B$6*($B21-1))+$B$7+IF(MOD($B21,5)=0,$B$8,0)+$B$9)*$B$11)</f>
        <v>370</v>
      </c>
    </row>
    <row r="22" spans="1:7" x14ac:dyDescent="0.25">
      <c r="A22" s="80" t="s">
        <v>297</v>
      </c>
      <c r="B22" s="9">
        <v>6</v>
      </c>
      <c r="C22" s="5" t="s">
        <v>298</v>
      </c>
      <c r="D22" s="68">
        <f>INT(($B$5+$B$6*($B22-1)+$B$7+IF(MOD($B22,5)=0,$B$8,0))*$B$10)</f>
        <v>160</v>
      </c>
      <c r="E22" s="68">
        <f>INT(($B$5+$B$6*($B22-1)+$B$7+IF(MOD($B22,5)=0,$B$8,0))*$B$11)</f>
        <v>200</v>
      </c>
      <c r="F22" s="68">
        <f>INT(($B$5+$B$6*($B22-1)+$B$7+IF(MOD($B22,5)=0,$B$8,0))*$B$12)</f>
        <v>400</v>
      </c>
      <c r="G22" s="68">
        <f>INT((IF($B22&lt;=2,INT(($B$5+$B$6*($B22-1))*0.6),$B$5+$B$6*($B22-1))+$B$7+IF(MOD($B22,5)=0,$B$8,0)+$B$9)*$B$11)</f>
        <v>320</v>
      </c>
    </row>
    <row r="23" spans="1:7" x14ac:dyDescent="0.25">
      <c r="A23" s="80" t="s">
        <v>299</v>
      </c>
      <c r="B23" s="9">
        <v>7</v>
      </c>
      <c r="C23" s="5" t="s">
        <v>300</v>
      </c>
      <c r="D23" s="68">
        <f>INT(($B$5+$B$6*($B23-1)+$B$7+IF(MOD($B23,5)=0,$B$8,0))*$B$10)</f>
        <v>168</v>
      </c>
      <c r="E23" s="68">
        <f>INT(($B$5+$B$6*($B23-1)+$B$7+IF(MOD($B23,5)=0,$B$8,0))*$B$11)</f>
        <v>210</v>
      </c>
      <c r="F23" s="68">
        <f>INT(($B$5+$B$6*($B23-1)+$B$7+IF(MOD($B23,5)=0,$B$8,0))*$B$12)</f>
        <v>420</v>
      </c>
      <c r="G23" s="68">
        <f>INT((IF($B23&lt;=2,INT(($B$5+$B$6*($B23-1))*0.6),$B$5+$B$6*($B23-1))+$B$7+IF(MOD($B23,5)=0,$B$8,0)+$B$9)*$B$11)</f>
        <v>330</v>
      </c>
    </row>
    <row r="24" spans="1:7" x14ac:dyDescent="0.25">
      <c r="A24" s="80" t="s">
        <v>301</v>
      </c>
      <c r="B24" s="9">
        <v>8</v>
      </c>
      <c r="C24" s="5" t="s">
        <v>302</v>
      </c>
      <c r="D24" s="68">
        <f>INT(($B$5+$B$6*($B24-1)+$B$7+IF(MOD($B24,5)=0,$B$8,0))*$B$10)</f>
        <v>176</v>
      </c>
      <c r="E24" s="68">
        <f>INT(($B$5+$B$6*($B24-1)+$B$7+IF(MOD($B24,5)=0,$B$8,0))*$B$11)</f>
        <v>220</v>
      </c>
      <c r="F24" s="68">
        <f>INT(($B$5+$B$6*($B24-1)+$B$7+IF(MOD($B24,5)=0,$B$8,0))*$B$12)</f>
        <v>440</v>
      </c>
      <c r="G24" s="68">
        <f>INT((IF($B24&lt;=2,INT(($B$5+$B$6*($B24-1))*0.6),$B$5+$B$6*($B24-1))+$B$7+IF(MOD($B24,5)=0,$B$8,0)+$B$9)*$B$11)</f>
        <v>340</v>
      </c>
    </row>
    <row r="25" spans="1:7" x14ac:dyDescent="0.25">
      <c r="A25" s="80" t="s">
        <v>303</v>
      </c>
      <c r="B25" s="9">
        <v>9</v>
      </c>
      <c r="C25" s="5" t="s">
        <v>304</v>
      </c>
      <c r="D25" s="68">
        <f>INT(($B$5+$B$6*($B25-1)+$B$7+IF(MOD($B25,5)=0,$B$8,0))*$B$10)</f>
        <v>184</v>
      </c>
      <c r="E25" s="68">
        <f>INT(($B$5+$B$6*($B25-1)+$B$7+IF(MOD($B25,5)=0,$B$8,0))*$B$11)</f>
        <v>230</v>
      </c>
      <c r="F25" s="68">
        <f>INT(($B$5+$B$6*($B25-1)+$B$7+IF(MOD($B25,5)=0,$B$8,0))*$B$12)</f>
        <v>460</v>
      </c>
      <c r="G25" s="68">
        <f>INT((IF($B25&lt;=2,INT(($B$5+$B$6*($B25-1))*0.6),$B$5+$B$6*($B25-1))+$B$7+IF(MOD($B25,5)=0,$B$8,0)+$B$9)*$B$11)</f>
        <v>350</v>
      </c>
    </row>
    <row r="26" spans="1:7" x14ac:dyDescent="0.25">
      <c r="A26" s="80" t="s">
        <v>305</v>
      </c>
      <c r="B26" s="9">
        <v>10</v>
      </c>
      <c r="C26" s="5" t="s">
        <v>306</v>
      </c>
      <c r="D26" s="68">
        <f>INT(($B$5+$B$6*($B26-1)+$B$7+IF(MOD($B26,5)=0,$B$8,0))*$B$10)</f>
        <v>240</v>
      </c>
      <c r="E26" s="68">
        <f>INT(($B$5+$B$6*($B26-1)+$B$7+IF(MOD($B26,5)=0,$B$8,0))*$B$11)</f>
        <v>300</v>
      </c>
      <c r="F26" s="68">
        <f>INT(($B$5+$B$6*($B26-1)+$B$7+IF(MOD($B26,5)=0,$B$8,0))*$B$12)</f>
        <v>600</v>
      </c>
      <c r="G26" s="68">
        <f>INT((IF($B26&lt;=2,INT(($B$5+$B$6*($B26-1))*0.6),$B$5+$B$6*($B26-1))+$B$7+IF(MOD($B26,5)=0,$B$8,0)+$B$9)*$B$11)</f>
        <v>420</v>
      </c>
    </row>
    <row r="27" spans="1:7" x14ac:dyDescent="0.25">
      <c r="A27" s="3" t="s">
        <v>307</v>
      </c>
    </row>
    <row r="29" spans="1:7" ht="17.25" x14ac:dyDescent="0.25">
      <c r="A29" s="8" t="s">
        <v>308</v>
      </c>
    </row>
    <row r="30" spans="1:7" x14ac:dyDescent="0.25">
      <c r="A30" s="5" t="s">
        <v>309</v>
      </c>
      <c r="B30" s="81">
        <v>10</v>
      </c>
    </row>
    <row r="31" spans="1:7" x14ac:dyDescent="0.25">
      <c r="A31" s="5" t="s">
        <v>310</v>
      </c>
      <c r="B31" s="64">
        <v>3</v>
      </c>
    </row>
    <row r="32" spans="1:7" x14ac:dyDescent="0.25">
      <c r="A32" s="5" t="s">
        <v>311</v>
      </c>
      <c r="B32" s="64">
        <v>2</v>
      </c>
    </row>
    <row r="33" spans="1:2" x14ac:dyDescent="0.25">
      <c r="A33" s="5" t="s">
        <v>312</v>
      </c>
      <c r="B33" s="82">
        <v>40</v>
      </c>
    </row>
    <row r="34" spans="1:2" x14ac:dyDescent="0.25">
      <c r="A34" s="6" t="s">
        <v>313</v>
      </c>
      <c r="B34" s="83">
        <f>B30*INDEX(D17:F26,B31,B32)</f>
        <v>1700</v>
      </c>
    </row>
    <row r="35" spans="1:2" x14ac:dyDescent="0.25">
      <c r="A35" s="6" t="s">
        <v>314</v>
      </c>
      <c r="B35" s="84">
        <f>ROUNDUP(INDEX('능력치(훈련)'!F16:F115,B33)/B34,0)</f>
        <v>7</v>
      </c>
    </row>
    <row r="36" spans="1:2" x14ac:dyDescent="0.25">
      <c r="A36" s="6" t="s">
        <v>315</v>
      </c>
      <c r="B36" s="84">
        <f>ROUNDUP(INDEX('능력치(훈련)'!G16:G115,B33)/B34,0)</f>
        <v>20</v>
      </c>
    </row>
    <row r="37" spans="1:2" x14ac:dyDescent="0.25">
      <c r="A37" s="3" t="s">
        <v>316</v>
      </c>
    </row>
  </sheetData>
  <phoneticPr fontId="8" type="noConversion"/>
  <pageMargins left="0.7" right="0.7" top="0.75" bottom="0.75" header="0.3" footer="0.3"/>
  <pageSetup paperSize="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읽는 법</vt:lpstr>
      <vt:lpstr>등급과 보급</vt:lpstr>
      <vt:lpstr>친구(펫)</vt:lpstr>
      <vt:lpstr>장비</vt:lpstr>
      <vt:lpstr>능력치(훈련)</vt:lpstr>
      <vt:lpstr>코인 벌기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수용 오</dc:creator>
  <cp:lastModifiedBy>수용 오</cp:lastModifiedBy>
  <dcterms:created xsi:type="dcterms:W3CDTF">2026-09-28T02:34:05Z</dcterms:created>
  <dcterms:modified xsi:type="dcterms:W3CDTF">2026-09-28T02:34:24Z</dcterms:modified>
</cp:coreProperties>
</file>